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drawings/drawing6.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Ex3.xml" ContentType="application/vnd.ms-office.chartex+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C:\Users\ADMIN\Desktop\Excel Dashboards\"/>
    </mc:Choice>
  </mc:AlternateContent>
  <xr:revisionPtr revIDLastSave="0" documentId="13_ncr:1_{94A985E8-ADE5-4F21-BF77-7DB1F45EE504}" xr6:coauthVersionLast="47" xr6:coauthVersionMax="47" xr10:uidLastSave="{00000000-0000-0000-0000-000000000000}"/>
  <bookViews>
    <workbookView xWindow="-120" yWindow="-120" windowWidth="29040" windowHeight="15840" firstSheet="1" activeTab="1" xr2:uid="{A31F09EB-BC4A-4E28-AFD6-656B84808B88}"/>
  </bookViews>
  <sheets>
    <sheet name="Inventory Records Data" sheetId="2" r:id="rId1"/>
    <sheet name="Working Sheet" sheetId="3" r:id="rId2"/>
    <sheet name="Stock vs. Sales" sheetId="4" r:id="rId3"/>
    <sheet name="Revenue vs. Cost" sheetId="5" r:id="rId4"/>
    <sheet name="Sales Rate" sheetId="7" r:id="rId5"/>
    <sheet name="Dead Stock" sheetId="9" r:id="rId6"/>
    <sheet name="Investment Recovery" sheetId="10" r:id="rId7"/>
    <sheet name="Dashboard" sheetId="6" r:id="rId8"/>
  </sheets>
  <definedNames>
    <definedName name="_xlnm._FilterDatabase" localSheetId="1" hidden="1">'Working Sheet'!$A$1:$L$47</definedName>
    <definedName name="_xlchart.v1.0" hidden="1">'Investment Recovery'!$D$4:$D$50</definedName>
    <definedName name="_xlchart.v1.1" hidden="1">'Investment Recovery'!$E$3</definedName>
    <definedName name="_xlchart.v1.2" hidden="1">'Investment Recovery'!$E$4:$E$50</definedName>
    <definedName name="_xlchart.v1.3" hidden="1">'Investment Recovery'!$D$54:$D$60</definedName>
    <definedName name="_xlchart.v1.4" hidden="1">'Investment Recovery'!$E$53</definedName>
    <definedName name="_xlchart.v1.5" hidden="1">'Investment Recovery'!$E$54:$E$60</definedName>
    <definedName name="_xlchart.v1.6" hidden="1">'Investment Recovery'!$D$54:$D$60</definedName>
    <definedName name="_xlchart.v1.7" hidden="1">'Investment Recovery'!$E$53</definedName>
    <definedName name="_xlchart.v1.8" hidden="1">'Investment Recovery'!$E$54:$E$60</definedName>
    <definedName name="Slicer_Category">#N/A</definedName>
    <definedName name="Slicer_Product_Name">#N/A</definedName>
    <definedName name="Slicer_Status">#N/A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 i="3" l="1"/>
  <c r="L4" i="3"/>
  <c r="L5" i="3"/>
  <c r="L6" i="3"/>
  <c r="L7" i="3"/>
  <c r="L8" i="3"/>
  <c r="L9" i="3"/>
  <c r="L10" i="3"/>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L42" i="3"/>
  <c r="L43" i="3"/>
  <c r="L44" i="3"/>
  <c r="L45" i="3"/>
  <c r="L46" i="3"/>
  <c r="L47" i="3"/>
  <c r="L2" i="3"/>
  <c r="E59" i="10"/>
  <c r="D58" i="10"/>
  <c r="D57" i="10"/>
  <c r="D56" i="10"/>
  <c r="D55" i="10"/>
  <c r="D54" i="10"/>
  <c r="K47" i="3"/>
  <c r="J47" i="3"/>
  <c r="K46" i="3"/>
  <c r="J46" i="3"/>
  <c r="K45" i="3"/>
  <c r="J45" i="3"/>
  <c r="K44" i="3"/>
  <c r="J44" i="3"/>
  <c r="K43" i="3"/>
  <c r="J43" i="3"/>
  <c r="K42" i="3"/>
  <c r="J42" i="3"/>
  <c r="K41" i="3"/>
  <c r="J41" i="3"/>
  <c r="K40" i="3"/>
  <c r="J40" i="3"/>
  <c r="K39" i="3"/>
  <c r="J39" i="3"/>
  <c r="K38" i="3"/>
  <c r="J38" i="3"/>
  <c r="K37" i="3"/>
  <c r="J37" i="3"/>
  <c r="K36" i="3"/>
  <c r="J36" i="3"/>
  <c r="K35" i="3"/>
  <c r="J35" i="3"/>
  <c r="K34" i="3"/>
  <c r="J34" i="3"/>
  <c r="K33" i="3"/>
  <c r="J33" i="3"/>
  <c r="K32" i="3"/>
  <c r="J32" i="3"/>
  <c r="K31" i="3"/>
  <c r="J31" i="3"/>
  <c r="K30" i="3"/>
  <c r="J30" i="3"/>
  <c r="K29" i="3"/>
  <c r="J29" i="3"/>
  <c r="K28" i="3"/>
  <c r="J28" i="3"/>
  <c r="K27" i="3"/>
  <c r="J27" i="3"/>
  <c r="K26" i="3"/>
  <c r="J26" i="3"/>
  <c r="K25" i="3"/>
  <c r="J25" i="3"/>
  <c r="K24" i="3"/>
  <c r="J24" i="3"/>
  <c r="K23" i="3"/>
  <c r="J23" i="3"/>
  <c r="K22" i="3"/>
  <c r="J22" i="3"/>
  <c r="K21" i="3"/>
  <c r="J21" i="3"/>
  <c r="K20" i="3"/>
  <c r="J20" i="3"/>
  <c r="K19" i="3"/>
  <c r="J19" i="3"/>
  <c r="K18" i="3"/>
  <c r="J18" i="3"/>
  <c r="K17" i="3"/>
  <c r="J17" i="3"/>
  <c r="K16" i="3"/>
  <c r="J16" i="3"/>
  <c r="K15" i="3"/>
  <c r="J15" i="3"/>
  <c r="K14" i="3"/>
  <c r="J14" i="3"/>
  <c r="K13" i="3"/>
  <c r="J13" i="3"/>
  <c r="K12" i="3"/>
  <c r="J12" i="3"/>
  <c r="K11" i="3"/>
  <c r="J11" i="3"/>
  <c r="K10" i="3"/>
  <c r="J10" i="3"/>
  <c r="K9" i="3"/>
  <c r="J9" i="3"/>
  <c r="K8" i="3"/>
  <c r="J8" i="3"/>
  <c r="K7" i="3"/>
  <c r="J7" i="3"/>
  <c r="K6" i="3"/>
  <c r="J6" i="3"/>
  <c r="K5" i="3"/>
  <c r="J5" i="3"/>
  <c r="K4" i="3"/>
  <c r="J4" i="3"/>
  <c r="K3" i="3"/>
  <c r="J3" i="3"/>
  <c r="K2" i="3"/>
  <c r="J2" i="3"/>
  <c r="E60" i="10"/>
  <c r="E57" i="10"/>
  <c r="E55" i="10"/>
  <c r="E58" i="10"/>
  <c r="E56" i="10"/>
  <c r="E54" i="10"/>
</calcChain>
</file>

<file path=xl/sharedStrings.xml><?xml version="1.0" encoding="utf-8"?>
<sst xmlns="http://schemas.openxmlformats.org/spreadsheetml/2006/main" count="375" uniqueCount="121">
  <si>
    <t>Excel Sample Data</t>
  </si>
  <si>
    <t>Inventory Records Data</t>
  </si>
  <si>
    <t>Product ID</t>
  </si>
  <si>
    <t>Product Name</t>
  </si>
  <si>
    <t>Opening 
Stock</t>
  </si>
  <si>
    <t>Purchase/
Stock in</t>
  </si>
  <si>
    <t>Number of 
Units Sold</t>
  </si>
  <si>
    <t>Hand-In-
Stock</t>
  </si>
  <si>
    <t>Cost Price 
Per Unit (USD)</t>
  </si>
  <si>
    <t>Cost Price
Total (USD)</t>
  </si>
  <si>
    <t>P101</t>
  </si>
  <si>
    <t>Laptop</t>
  </si>
  <si>
    <t>P102</t>
  </si>
  <si>
    <t>Monitor</t>
  </si>
  <si>
    <t>P103</t>
  </si>
  <si>
    <t>Keyboard</t>
  </si>
  <si>
    <t>P104</t>
  </si>
  <si>
    <t>Headphones</t>
  </si>
  <si>
    <t>P105</t>
  </si>
  <si>
    <t>Smartphone</t>
  </si>
  <si>
    <t>P106</t>
  </si>
  <si>
    <t>Tablet</t>
  </si>
  <si>
    <t>P107</t>
  </si>
  <si>
    <t>Router</t>
  </si>
  <si>
    <t>P108</t>
  </si>
  <si>
    <t>External Hard Drive</t>
  </si>
  <si>
    <t>P109</t>
  </si>
  <si>
    <t>Wireless Earbuds</t>
  </si>
  <si>
    <t>P110</t>
  </si>
  <si>
    <t>Webcam</t>
  </si>
  <si>
    <t>P111</t>
  </si>
  <si>
    <t>Desk Chair</t>
  </si>
  <si>
    <t>P112</t>
  </si>
  <si>
    <t>Desk Lamp</t>
  </si>
  <si>
    <t>P113</t>
  </si>
  <si>
    <t>USB Flash Drive</t>
  </si>
  <si>
    <t>P114</t>
  </si>
  <si>
    <t>Ethernet Cable</t>
  </si>
  <si>
    <t>P115</t>
  </si>
  <si>
    <t>Power Strip</t>
  </si>
  <si>
    <t>P116</t>
  </si>
  <si>
    <t>Wireless Mouse</t>
  </si>
  <si>
    <t>P117</t>
  </si>
  <si>
    <t>Gaming Keyboard</t>
  </si>
  <si>
    <t>P118</t>
  </si>
  <si>
    <t>Gaming Mouse</t>
  </si>
  <si>
    <t>P119</t>
  </si>
  <si>
    <t>Gaming Headset</t>
  </si>
  <si>
    <t>P120</t>
  </si>
  <si>
    <t>Gaming Chair</t>
  </si>
  <si>
    <t>P121</t>
  </si>
  <si>
    <t>Gaming Monitor</t>
  </si>
  <si>
    <t>P122</t>
  </si>
  <si>
    <t>Graphics Card</t>
  </si>
  <si>
    <t>P123</t>
  </si>
  <si>
    <t>CPU</t>
  </si>
  <si>
    <t>P124</t>
  </si>
  <si>
    <t>Motherboard</t>
  </si>
  <si>
    <t>P125</t>
  </si>
  <si>
    <t>RAM</t>
  </si>
  <si>
    <t>P126</t>
  </si>
  <si>
    <t>SSD</t>
  </si>
  <si>
    <t>P127</t>
  </si>
  <si>
    <t>HDD</t>
  </si>
  <si>
    <t>P128</t>
  </si>
  <si>
    <t>Power Supply</t>
  </si>
  <si>
    <t>P129</t>
  </si>
  <si>
    <t>PC Case</t>
  </si>
  <si>
    <t>P130</t>
  </si>
  <si>
    <t>CPU Cooler</t>
  </si>
  <si>
    <t>P131</t>
  </si>
  <si>
    <t>Monitor Stand</t>
  </si>
  <si>
    <t>P132</t>
  </si>
  <si>
    <t>Mouse Pad</t>
  </si>
  <si>
    <t>P133</t>
  </si>
  <si>
    <t>Thermal Paste</t>
  </si>
  <si>
    <t>P134</t>
  </si>
  <si>
    <t>Cable Management Kit</t>
  </si>
  <si>
    <t>P135</t>
  </si>
  <si>
    <t>WiFi Adapter</t>
  </si>
  <si>
    <t>P136</t>
  </si>
  <si>
    <t>External DVD Drive</t>
  </si>
  <si>
    <t>P137</t>
  </si>
  <si>
    <t>Printer Cable</t>
  </si>
  <si>
    <t>P138</t>
  </si>
  <si>
    <t>Keyboard Cleaner</t>
  </si>
  <si>
    <t>P139</t>
  </si>
  <si>
    <t>Laptop Cooling Pad</t>
  </si>
  <si>
    <t>P140</t>
  </si>
  <si>
    <t>USB Hub</t>
  </si>
  <si>
    <t>P141</t>
  </si>
  <si>
    <t>Anti-Glare Screen Protector</t>
  </si>
  <si>
    <t>P142</t>
  </si>
  <si>
    <t>USB-C Adapter</t>
  </si>
  <si>
    <t>P143</t>
  </si>
  <si>
    <t>Laptop Sleeve</t>
  </si>
  <si>
    <t>P144</t>
  </si>
  <si>
    <t>Wireless Charger</t>
  </si>
  <si>
    <t>P145</t>
  </si>
  <si>
    <t>USB-C Cable</t>
  </si>
  <si>
    <t>P146</t>
  </si>
  <si>
    <t>Gaming Desk</t>
  </si>
  <si>
    <t>Sales Rate</t>
  </si>
  <si>
    <t>Row Labels</t>
  </si>
  <si>
    <t>Grand Total</t>
  </si>
  <si>
    <t>Hand-In-Stock</t>
  </si>
  <si>
    <t>Sales Per Product (USD)</t>
  </si>
  <si>
    <t>Units Sold</t>
  </si>
  <si>
    <r>
      <rPr>
        <b/>
        <sz val="26"/>
        <color theme="0"/>
        <rFont val="Aptos Narrow"/>
        <family val="2"/>
        <scheme val="minor"/>
      </rPr>
      <t>Inventory Dashboard</t>
    </r>
    <r>
      <rPr>
        <sz val="11"/>
        <color theme="1"/>
        <rFont val="Aptos Narrow"/>
        <family val="2"/>
        <scheme val="minor"/>
      </rPr>
      <t xml:space="preserve">                </t>
    </r>
  </si>
  <si>
    <t xml:space="preserve"> Units Sold</t>
  </si>
  <si>
    <t>Cost Price 
Total (USD)</t>
  </si>
  <si>
    <t>Sales Per Product</t>
  </si>
  <si>
    <t xml:space="preserve">Sales Rate </t>
  </si>
  <si>
    <t xml:space="preserve">Gross Profit </t>
  </si>
  <si>
    <t>Other Products</t>
  </si>
  <si>
    <t>Mobile</t>
  </si>
  <si>
    <t>Peripherals</t>
  </si>
  <si>
    <t>Accessories</t>
  </si>
  <si>
    <t>Computing</t>
  </si>
  <si>
    <t>Category</t>
  </si>
  <si>
    <t>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</si>
</sst>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9" x14ac:knownFonts="1">
    <font>
      <sz val="11"/>
      <color theme="1"/>
      <name val="Aptos Narrow"/>
      <family val="2"/>
      <scheme val="minor"/>
    </font>
    <font>
      <sz val="11"/>
      <color theme="1"/>
      <name val="Calibri"/>
      <family val="2"/>
    </font>
    <font>
      <b/>
      <sz val="14"/>
      <color rgb="FF272760"/>
      <name val="Calibri"/>
      <family val="2"/>
    </font>
    <font>
      <b/>
      <sz val="13"/>
      <color rgb="FF272760"/>
      <name val="Calibri"/>
      <family val="2"/>
    </font>
    <font>
      <b/>
      <sz val="12"/>
      <color rgb="FFFFFFFF"/>
      <name val="Calibri"/>
      <family val="2"/>
    </font>
    <font>
      <sz val="11"/>
      <color rgb="FF000000"/>
      <name val="Calibri"/>
      <family val="2"/>
    </font>
    <font>
      <sz val="11"/>
      <color theme="1"/>
      <name val="Aptos Narrow"/>
      <family val="2"/>
      <scheme val="minor"/>
    </font>
    <font>
      <b/>
      <sz val="26"/>
      <color theme="0"/>
      <name val="Aptos Narrow"/>
      <family val="2"/>
      <scheme val="minor"/>
    </font>
    <font>
      <b/>
      <sz val="11"/>
      <color theme="1"/>
      <name val="Aptos Narrow"/>
      <family val="2"/>
      <scheme val="minor"/>
    </font>
  </fonts>
  <fills count="7">
    <fill>
      <patternFill patternType="none"/>
    </fill>
    <fill>
      <patternFill patternType="gray125"/>
    </fill>
    <fill>
      <patternFill patternType="solid">
        <fgColor rgb="FFD9E1F2"/>
        <bgColor indexed="64"/>
      </patternFill>
    </fill>
    <fill>
      <patternFill patternType="solid">
        <fgColor rgb="FF272760"/>
        <bgColor indexed="64"/>
      </patternFill>
    </fill>
    <fill>
      <patternFill patternType="solid">
        <fgColor theme="3" tint="9.9978637043366805E-2"/>
        <bgColor indexed="64"/>
      </patternFill>
    </fill>
    <fill>
      <patternFill patternType="solid">
        <fgColor theme="5" tint="0.79998168889431442"/>
        <bgColor indexed="64"/>
      </patternFill>
    </fill>
    <fill>
      <patternFill patternType="solid">
        <fgColor theme="6" tint="0.79998168889431442"/>
        <bgColor indexed="64"/>
      </patternFill>
    </fill>
  </fills>
  <borders count="3">
    <border>
      <left/>
      <right/>
      <top/>
      <bottom/>
      <diagonal/>
    </border>
    <border>
      <left/>
      <right/>
      <top/>
      <bottom style="medium">
        <color rgb="FF272760"/>
      </bottom>
      <diagonal/>
    </border>
    <border>
      <left style="thin">
        <color rgb="FFD9D9D9"/>
      </left>
      <right style="thin">
        <color rgb="FFD9D9D9"/>
      </right>
      <top style="thin">
        <color rgb="FFD9D9D9"/>
      </top>
      <bottom style="thin">
        <color rgb="FFD9D9D9"/>
      </bottom>
      <diagonal/>
    </border>
  </borders>
  <cellStyleXfs count="2">
    <xf numFmtId="0" fontId="0" fillId="0" borderId="0"/>
    <xf numFmtId="43" fontId="6" fillId="0" borderId="0" applyFont="0" applyFill="0" applyBorder="0" applyAlignment="0" applyProtection="0"/>
  </cellStyleXfs>
  <cellXfs count="27">
    <xf numFmtId="0" fontId="0" fillId="0" borderId="0" xfId="0"/>
    <xf numFmtId="0" fontId="1" fillId="0" borderId="0" xfId="0" applyFont="1"/>
    <xf numFmtId="0" fontId="2" fillId="2" borderId="1" xfId="0" applyFont="1" applyFill="1" applyBorder="1" applyAlignment="1">
      <alignment horizontal="centerContinuous" vertical="center"/>
    </xf>
    <xf numFmtId="0" fontId="3" fillId="2" borderId="1" xfId="0" applyFont="1" applyFill="1" applyBorder="1" applyAlignment="1">
      <alignment horizontal="centerContinuous" vertical="center"/>
    </xf>
    <xf numFmtId="0" fontId="4" fillId="3" borderId="2" xfId="0" applyFont="1" applyFill="1" applyBorder="1" applyAlignment="1">
      <alignment horizontal="center" vertical="center"/>
    </xf>
    <xf numFmtId="0" fontId="4" fillId="3" borderId="2" xfId="0" applyFont="1" applyFill="1" applyBorder="1" applyAlignment="1">
      <alignment horizontal="center" vertical="center" wrapText="1"/>
    </xf>
    <xf numFmtId="0" fontId="5" fillId="0" borderId="2" xfId="0" applyFont="1" applyBorder="1" applyAlignment="1">
      <alignment vertical="center"/>
    </xf>
    <xf numFmtId="0" fontId="4" fillId="3" borderId="1" xfId="0" applyFont="1" applyFill="1" applyBorder="1" applyAlignment="1">
      <alignment horizontal="center" vertical="center"/>
    </xf>
    <xf numFmtId="0" fontId="5" fillId="0" borderId="0" xfId="0" applyFont="1" applyAlignment="1">
      <alignment vertical="center"/>
    </xf>
    <xf numFmtId="0" fontId="4" fillId="3" borderId="1" xfId="0" applyFont="1" applyFill="1" applyBorder="1" applyAlignment="1">
      <alignment horizontal="center" vertical="center" wrapText="1"/>
    </xf>
    <xf numFmtId="164" fontId="1" fillId="0" borderId="0" xfId="1" applyNumberFormat="1" applyFont="1"/>
    <xf numFmtId="164" fontId="4" fillId="3" borderId="1" xfId="1" applyNumberFormat="1" applyFont="1" applyFill="1" applyBorder="1" applyAlignment="1">
      <alignment horizontal="center" vertical="center" wrapText="1"/>
    </xf>
    <xf numFmtId="164" fontId="5" fillId="0" borderId="0" xfId="1" applyNumberFormat="1" applyFont="1" applyBorder="1" applyAlignment="1">
      <alignment vertical="center"/>
    </xf>
    <xf numFmtId="164" fontId="5" fillId="0" borderId="2" xfId="1" applyNumberFormat="1" applyFont="1" applyBorder="1" applyAlignment="1">
      <alignment vertical="center"/>
    </xf>
    <xf numFmtId="164" fontId="0" fillId="0" borderId="0" xfId="1" applyNumberFormat="1" applyFont="1"/>
    <xf numFmtId="10" fontId="1" fillId="0" borderId="0" xfId="0" applyNumberFormat="1" applyFont="1"/>
    <xf numFmtId="10" fontId="4" fillId="3" borderId="1" xfId="1" applyNumberFormat="1" applyFont="1" applyFill="1" applyBorder="1" applyAlignment="1">
      <alignment horizontal="center" vertical="center" wrapText="1"/>
    </xf>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0" fontId="0" fillId="0" borderId="0" xfId="0" applyAlignment="1">
      <alignment vertical="center"/>
    </xf>
    <xf numFmtId="0" fontId="8" fillId="5" borderId="0" xfId="0" applyFont="1" applyFill="1"/>
    <xf numFmtId="164" fontId="8" fillId="5" borderId="0" xfId="1" applyNumberFormat="1" applyFont="1" applyFill="1"/>
    <xf numFmtId="0" fontId="8" fillId="6" borderId="0" xfId="0" applyFont="1" applyFill="1"/>
    <xf numFmtId="164" fontId="8" fillId="6" borderId="0" xfId="1" applyNumberFormat="1" applyFont="1" applyFill="1"/>
    <xf numFmtId="0" fontId="0" fillId="4" borderId="0" xfId="0" applyFill="1" applyAlignment="1">
      <alignment horizontal="center" vertical="center"/>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[computer-shop-inventory-dashboard.xlsx]Stock vs. Sales!PivotTable2</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Stock vs.</a:t>
            </a:r>
            <a:r>
              <a:rPr lang="en-US" baseline="0"/>
              <a:t> Sales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'Stock vs. Sales'!$B$2</c:f>
              <c:strCache>
                <c:ptCount val="1"/>
                <c:pt idx="0">
                  <c:v>Hand-In-Stock</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'Stock vs. Sales'!$A$3:$A$15</c:f>
              <c:strCache>
                <c:ptCount val="12"/>
                <c:pt idx="0">
                  <c:v>Smartphone</c:v>
                </c:pt>
                <c:pt idx="1">
                  <c:v>Ethernet Cable</c:v>
                </c:pt>
                <c:pt idx="2">
                  <c:v>Keyboard</c:v>
                </c:pt>
                <c:pt idx="3">
                  <c:v>USB Flash Drive</c:v>
                </c:pt>
                <c:pt idx="4">
                  <c:v>Router</c:v>
                </c:pt>
                <c:pt idx="5">
                  <c:v>RAM</c:v>
                </c:pt>
                <c:pt idx="6">
                  <c:v>Webcam</c:v>
                </c:pt>
                <c:pt idx="7">
                  <c:v>Graphics Card</c:v>
                </c:pt>
                <c:pt idx="8">
                  <c:v>PC Case</c:v>
                </c:pt>
                <c:pt idx="9">
                  <c:v>Keyboard Cleaner</c:v>
                </c:pt>
                <c:pt idx="10">
                  <c:v>CPU</c:v>
                </c:pt>
                <c:pt idx="11">
                  <c:v>Desk Lamp</c:v>
                </c:pt>
              </c:strCache>
            </c:strRef>
          </c:cat>
          <c:val>
            <c:numRef>
              <c:f>'Stock vs. Sales'!$B$3:$B$15</c:f>
              <c:numCache>
                <c:formatCode>General</c:formatCode>
                <c:ptCount val="12"/>
                <c:pt idx="0">
                  <c:v>80</c:v>
                </c:pt>
                <c:pt idx="1">
                  <c:v>75</c:v>
                </c:pt>
                <c:pt idx="2">
                  <c:v>70</c:v>
                </c:pt>
                <c:pt idx="3">
                  <c:v>63</c:v>
                </c:pt>
                <c:pt idx="4">
                  <c:v>65</c:v>
                </c:pt>
                <c:pt idx="5">
                  <c:v>61</c:v>
                </c:pt>
                <c:pt idx="6">
                  <c:v>50</c:v>
                </c:pt>
                <c:pt idx="7">
                  <c:v>49</c:v>
                </c:pt>
                <c:pt idx="8">
                  <c:v>49</c:v>
                </c:pt>
                <c:pt idx="9">
                  <c:v>49</c:v>
                </c:pt>
                <c:pt idx="10">
                  <c:v>38</c:v>
                </c:pt>
                <c:pt idx="11">
                  <c:v>38</c:v>
                </c:pt>
              </c:numCache>
            </c:numRef>
          </c:val>
          <c:extLst>
            <c:ext xmlns:c16="http://schemas.microsoft.com/office/drawing/2014/chart" uri="{C3380CC4-5D6E-409C-BE32-E72D297353CC}">
              <c16:uniqueId val="{00000000-C0E9-428A-9E4D-CA83AF1DEEF4}"/>
            </c:ext>
          </c:extLst>
        </c:ser>
        <c:ser>
          <c:idx val="1"/>
          <c:order val="1"/>
          <c:tx>
            <c:strRef>
              <c:f>'Stock vs. Sales'!$C$2</c:f>
              <c:strCache>
                <c:ptCount val="1"/>
                <c:pt idx="0">
                  <c:v>Units Sold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'Stock vs. Sales'!$A$3:$A$15</c:f>
              <c:strCache>
                <c:ptCount val="12"/>
                <c:pt idx="0">
                  <c:v>Smartphone</c:v>
                </c:pt>
                <c:pt idx="1">
                  <c:v>Ethernet Cable</c:v>
                </c:pt>
                <c:pt idx="2">
                  <c:v>Keyboard</c:v>
                </c:pt>
                <c:pt idx="3">
                  <c:v>USB Flash Drive</c:v>
                </c:pt>
                <c:pt idx="4">
                  <c:v>Router</c:v>
                </c:pt>
                <c:pt idx="5">
                  <c:v>RAM</c:v>
                </c:pt>
                <c:pt idx="6">
                  <c:v>Webcam</c:v>
                </c:pt>
                <c:pt idx="7">
                  <c:v>Graphics Card</c:v>
                </c:pt>
                <c:pt idx="8">
                  <c:v>PC Case</c:v>
                </c:pt>
                <c:pt idx="9">
                  <c:v>Keyboard Cleaner</c:v>
                </c:pt>
                <c:pt idx="10">
                  <c:v>CPU</c:v>
                </c:pt>
                <c:pt idx="11">
                  <c:v>Desk Lamp</c:v>
                </c:pt>
              </c:strCache>
            </c:strRef>
          </c:cat>
          <c:val>
            <c:numRef>
              <c:f>'Stock vs. Sales'!$C$3:$C$15</c:f>
              <c:numCache>
                <c:formatCode>General</c:formatCode>
                <c:ptCount val="12"/>
                <c:pt idx="0">
                  <c:v>20</c:v>
                </c:pt>
                <c:pt idx="1">
                  <c:v>15</c:v>
                </c:pt>
                <c:pt idx="2">
                  <c:v>15</c:v>
                </c:pt>
                <c:pt idx="3">
                  <c:v>12</c:v>
                </c:pt>
                <c:pt idx="4">
                  <c:v>12</c:v>
                </c:pt>
                <c:pt idx="5">
                  <c:v>11</c:v>
                </c:pt>
                <c:pt idx="6">
                  <c:v>10</c:v>
                </c:pt>
                <c:pt idx="7">
                  <c:v>9</c:v>
                </c:pt>
                <c:pt idx="8">
                  <c:v>9</c:v>
                </c:pt>
                <c:pt idx="9">
                  <c:v>9</c:v>
                </c:pt>
                <c:pt idx="10">
                  <c:v>7</c:v>
                </c:pt>
                <c:pt idx="11">
                  <c:v>7</c:v>
                </c:pt>
              </c:numCache>
            </c:numRef>
          </c:val>
          <c:extLst>
            <c:ext xmlns:c16="http://schemas.microsoft.com/office/drawing/2014/chart" uri="{C3380CC4-5D6E-409C-BE32-E72D297353CC}">
              <c16:uniqueId val="{00000001-C0E9-428A-9E4D-CA83AF1DEEF4}"/>
            </c:ext>
          </c:extLst>
        </c:ser>
        <c:dLbls>
          <c:showLegendKey val="0"/>
          <c:showVal val="0"/>
          <c:showCatName val="0"/>
          <c:showSerName val="0"/>
          <c:showPercent val="0"/>
          <c:showBubbleSize val="0"/>
        </c:dLbls>
        <c:gapWidth val="100"/>
        <c:overlap val="-24"/>
        <c:axId val="373902672"/>
        <c:axId val="373905072"/>
      </c:barChart>
      <c:catAx>
        <c:axId val="37390267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3905072"/>
        <c:crosses val="autoZero"/>
        <c:auto val="1"/>
        <c:lblAlgn val="ctr"/>
        <c:lblOffset val="100"/>
        <c:noMultiLvlLbl val="0"/>
      </c:catAx>
      <c:valAx>
        <c:axId val="373905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3902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[computer-shop-inventory-dashboard.xlsx]Revenue vs. Cost!PivotTable3</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Revenue</a:t>
            </a:r>
            <a:r>
              <a:rPr lang="en-US" baseline="0"/>
              <a:t> vs. Cost</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vs. Cost'!$B$2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'Revenue vs. Cost'!$A$3:$A$13</c:f>
              <c:strCache>
                <c:ptCount val="10"/>
                <c:pt idx="0">
                  <c:v>CPU</c:v>
                </c:pt>
                <c:pt idx="1">
                  <c:v>Desk Lamp</c:v>
                </c:pt>
                <c:pt idx="2">
                  <c:v>Graphics Card</c:v>
                </c:pt>
                <c:pt idx="3">
                  <c:v>Keyboard</c:v>
                </c:pt>
                <c:pt idx="4">
                  <c:v>PC Case</c:v>
                </c:pt>
                <c:pt idx="5">
                  <c:v>RAM</c:v>
                </c:pt>
                <c:pt idx="6">
                  <c:v>Router</c:v>
                </c:pt>
                <c:pt idx="7">
                  <c:v>Smartphone</c:v>
                </c:pt>
                <c:pt idx="8">
                  <c:v>USB Flash Drive</c:v>
                </c:pt>
                <c:pt idx="9">
                  <c:v>Webcam</c:v>
                </c:pt>
              </c:strCache>
            </c:strRef>
          </c:cat>
          <c:val>
            <c:numRef>
              <c:f>'Revenue vs. Cost'!$B$3:$B$13</c:f>
              <c:numCache>
                <c:formatCode>_(* #,##0_);_(* \(#,##0\);_(* "-"??_);_(@_)</c:formatCode>
                <c:ptCount val="10"/>
                <c:pt idx="0">
                  <c:v>2450</c:v>
                </c:pt>
                <c:pt idx="1">
                  <c:v>210</c:v>
                </c:pt>
                <c:pt idx="2">
                  <c:v>5400</c:v>
                </c:pt>
                <c:pt idx="3">
                  <c:v>750</c:v>
                </c:pt>
                <c:pt idx="4">
                  <c:v>720</c:v>
                </c:pt>
                <c:pt idx="5">
                  <c:v>880</c:v>
                </c:pt>
                <c:pt idx="6">
                  <c:v>1800</c:v>
                </c:pt>
                <c:pt idx="7">
                  <c:v>18000</c:v>
                </c:pt>
                <c:pt idx="8">
                  <c:v>240</c:v>
                </c:pt>
                <c:pt idx="9">
                  <c:v>600</c:v>
                </c:pt>
              </c:numCache>
            </c:numRef>
          </c:val>
          <c:extLst>
            <c:ext xmlns:c16="http://schemas.microsoft.com/office/drawing/2014/chart" uri="{C3380CC4-5D6E-409C-BE32-E72D297353CC}">
              <c16:uniqueId val="{00000000-34BC-4EFA-B75C-665BF926B309}"/>
            </c:ext>
          </c:extLst>
        </c:ser>
        <c:dLbls>
          <c:showLegendKey val="0"/>
          <c:showVal val="0"/>
          <c:showCatName val="0"/>
          <c:showSerName val="0"/>
          <c:showPercent val="0"/>
          <c:showBubbleSize val="0"/>
        </c:dLbls>
        <c:gapWidth val="269"/>
        <c:axId val="1982277888"/>
        <c:axId val="1982278848"/>
      </c:barChart>
      <c:catAx>
        <c:axId val="198227788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2278848"/>
        <c:crosses val="autoZero"/>
        <c:auto val="1"/>
        <c:lblAlgn val="ctr"/>
        <c:lblOffset val="100"/>
        <c:noMultiLvlLbl val="0"/>
      </c:catAx>
      <c:valAx>
        <c:axId val="1982278848"/>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2277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[computer-shop-inventory-dashboard.xlsx]Sales Rate!PivotTable4</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 Rate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Rate'!$B$2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 Rate'!$A$3:$A$15</c:f>
              <c:strCache>
                <c:ptCount val="12"/>
                <c:pt idx="0">
                  <c:v>RAM</c:v>
                </c:pt>
                <c:pt idx="1">
                  <c:v>PC Case</c:v>
                </c:pt>
                <c:pt idx="2">
                  <c:v>Keyboard Cleaner</c:v>
                </c:pt>
                <c:pt idx="3">
                  <c:v>Graphics Card</c:v>
                </c:pt>
                <c:pt idx="4">
                  <c:v>CPU</c:v>
                </c:pt>
                <c:pt idx="5">
                  <c:v>Desk Lamp</c:v>
                </c:pt>
                <c:pt idx="6">
                  <c:v>Router</c:v>
                </c:pt>
                <c:pt idx="7">
                  <c:v>USB Flash Drive</c:v>
                </c:pt>
                <c:pt idx="8">
                  <c:v>Ethernet Cable</c:v>
                </c:pt>
                <c:pt idx="9">
                  <c:v>Webcam</c:v>
                </c:pt>
                <c:pt idx="10">
                  <c:v>Keyboard</c:v>
                </c:pt>
                <c:pt idx="11">
                  <c:v>Smartphone</c:v>
                </c:pt>
              </c:strCache>
            </c:strRef>
          </c:cat>
          <c:val>
            <c:numRef>
              <c:f>'Sales Rate'!$B$3:$B$15</c:f>
              <c:numCache>
                <c:formatCode>0.00%</c:formatCode>
                <c:ptCount val="12"/>
                <c:pt idx="0">
                  <c:v>0.15277777777777779</c:v>
                </c:pt>
                <c:pt idx="1">
                  <c:v>0.15517241379310345</c:v>
                </c:pt>
                <c:pt idx="2">
                  <c:v>0.15517241379310345</c:v>
                </c:pt>
                <c:pt idx="3">
                  <c:v>0.15517241379310345</c:v>
                </c:pt>
                <c:pt idx="4">
                  <c:v>0.15555555555555556</c:v>
                </c:pt>
                <c:pt idx="5">
                  <c:v>0.15555555555555556</c:v>
                </c:pt>
                <c:pt idx="6">
                  <c:v>0.15584415584415584</c:v>
                </c:pt>
                <c:pt idx="7">
                  <c:v>0.16</c:v>
                </c:pt>
                <c:pt idx="8">
                  <c:v>0.16666666666666666</c:v>
                </c:pt>
                <c:pt idx="9">
                  <c:v>0.16666666666666666</c:v>
                </c:pt>
                <c:pt idx="10">
                  <c:v>0.17647058823529413</c:v>
                </c:pt>
                <c:pt idx="11">
                  <c:v>0.2</c:v>
                </c:pt>
              </c:numCache>
            </c:numRef>
          </c:val>
          <c:extLst>
            <c:ext xmlns:c16="http://schemas.microsoft.com/office/drawing/2014/chart" uri="{C3380CC4-5D6E-409C-BE32-E72D297353CC}">
              <c16:uniqueId val="{00000000-167B-48DF-9D3E-FA9CFAEB9923}"/>
            </c:ext>
          </c:extLst>
        </c:ser>
        <c:dLbls>
          <c:showLegendKey val="0"/>
          <c:showVal val="0"/>
          <c:showCatName val="0"/>
          <c:showSerName val="0"/>
          <c:showPercent val="0"/>
          <c:showBubbleSize val="0"/>
        </c:dLbls>
        <c:gapWidth val="115"/>
        <c:overlap val="-20"/>
        <c:axId val="507099488"/>
        <c:axId val="507093728"/>
      </c:barChart>
      <c:catAx>
        <c:axId val="50709948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7093728"/>
        <c:crosses val="autoZero"/>
        <c:auto val="1"/>
        <c:lblAlgn val="ctr"/>
        <c:lblOffset val="100"/>
        <c:noMultiLvlLbl val="0"/>
      </c:catAx>
      <c:valAx>
        <c:axId val="507093728"/>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7099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[computer-shop-inventory-dashboard.xlsx]Dead Stock!PivotTable5</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Dead</a:t>
            </a:r>
            <a:r>
              <a:rPr lang="en-US" baseline="0"/>
              <a:t> Stock</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'Dead Stock'!$B$2</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'Dead Stock'!$A$3:$A$10</c:f>
              <c:strCache>
                <c:ptCount val="7"/>
                <c:pt idx="0">
                  <c:v>Headphones</c:v>
                </c:pt>
                <c:pt idx="1">
                  <c:v>USB Hub</c:v>
                </c:pt>
                <c:pt idx="2">
                  <c:v>Gaming Desk</c:v>
                </c:pt>
                <c:pt idx="3">
                  <c:v>Monitor Stand</c:v>
                </c:pt>
                <c:pt idx="4">
                  <c:v>Monitor</c:v>
                </c:pt>
                <c:pt idx="5">
                  <c:v>Thermal Paste</c:v>
                </c:pt>
                <c:pt idx="6">
                  <c:v>Anti-Glare Screen Protector</c:v>
                </c:pt>
              </c:strCache>
            </c:strRef>
          </c:cat>
          <c:val>
            <c:numRef>
              <c:f>'Dead Stock'!$B$3:$B$10</c:f>
              <c:numCache>
                <c:formatCode>0.00%</c:formatCode>
                <c:ptCount val="7"/>
                <c:pt idx="0">
                  <c:v>7.4999999999999997E-2</c:v>
                </c:pt>
                <c:pt idx="1">
                  <c:v>8.5106382978723402E-2</c:v>
                </c:pt>
                <c:pt idx="2">
                  <c:v>8.5714285714285715E-2</c:v>
                </c:pt>
                <c:pt idx="3">
                  <c:v>8.5714285714285715E-2</c:v>
                </c:pt>
                <c:pt idx="4">
                  <c:v>9.0909090909090912E-2</c:v>
                </c:pt>
                <c:pt idx="5">
                  <c:v>9.0909090909090912E-2</c:v>
                </c:pt>
                <c:pt idx="6">
                  <c:v>9.0909090909090912E-2</c:v>
                </c:pt>
              </c:numCache>
            </c:numRef>
          </c:val>
          <c:extLst>
            <c:ext xmlns:c16="http://schemas.microsoft.com/office/drawing/2014/chart" uri="{C3380CC4-5D6E-409C-BE32-E72D297353CC}">
              <c16:uniqueId val="{00000000-86B2-4D91-99DB-CD4AAB3A01C3}"/>
            </c:ext>
          </c:extLst>
        </c:ser>
        <c:dLbls>
          <c:showLegendKey val="0"/>
          <c:showVal val="0"/>
          <c:showCatName val="0"/>
          <c:showSerName val="0"/>
          <c:showPercent val="0"/>
          <c:showBubbleSize val="0"/>
        </c:dLbls>
        <c:gapWidth val="115"/>
        <c:overlap val="-20"/>
        <c:axId val="507139808"/>
        <c:axId val="507147968"/>
      </c:barChart>
      <c:catAx>
        <c:axId val="50713980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7147968"/>
        <c:crosses val="autoZero"/>
        <c:auto val="1"/>
        <c:lblAlgn val="ctr"/>
        <c:lblOffset val="100"/>
        <c:noMultiLvlLbl val="0"/>
      </c:catAx>
      <c:valAx>
        <c:axId val="507147968"/>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7139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[computer-shop-inventory-dashboard.xlsx]Stock vs. Sales!PivotTable2</c:name>
    <c:fmtId val="2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Stock vs.</a:t>
            </a:r>
            <a:r>
              <a:rPr lang="en-US" baseline="0"/>
              <a:t> Sales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'Stock vs. Sales'!$B$2</c:f>
              <c:strCache>
                <c:ptCount val="1"/>
                <c:pt idx="0">
                  <c:v>Hand-In-Stock</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'Stock vs. Sales'!$A$3:$A$15</c:f>
              <c:strCache>
                <c:ptCount val="12"/>
                <c:pt idx="0">
                  <c:v>Smartphone</c:v>
                </c:pt>
                <c:pt idx="1">
                  <c:v>Ethernet Cable</c:v>
                </c:pt>
                <c:pt idx="2">
                  <c:v>Keyboard</c:v>
                </c:pt>
                <c:pt idx="3">
                  <c:v>USB Flash Drive</c:v>
                </c:pt>
                <c:pt idx="4">
                  <c:v>Router</c:v>
                </c:pt>
                <c:pt idx="5">
                  <c:v>RAM</c:v>
                </c:pt>
                <c:pt idx="6">
                  <c:v>Webcam</c:v>
                </c:pt>
                <c:pt idx="7">
                  <c:v>Graphics Card</c:v>
                </c:pt>
                <c:pt idx="8">
                  <c:v>PC Case</c:v>
                </c:pt>
                <c:pt idx="9">
                  <c:v>Keyboard Cleaner</c:v>
                </c:pt>
                <c:pt idx="10">
                  <c:v>CPU</c:v>
                </c:pt>
                <c:pt idx="11">
                  <c:v>Desk Lamp</c:v>
                </c:pt>
              </c:strCache>
            </c:strRef>
          </c:cat>
          <c:val>
            <c:numRef>
              <c:f>'Stock vs. Sales'!$B$3:$B$15</c:f>
              <c:numCache>
                <c:formatCode>General</c:formatCode>
                <c:ptCount val="12"/>
                <c:pt idx="0">
                  <c:v>80</c:v>
                </c:pt>
                <c:pt idx="1">
                  <c:v>75</c:v>
                </c:pt>
                <c:pt idx="2">
                  <c:v>70</c:v>
                </c:pt>
                <c:pt idx="3">
                  <c:v>63</c:v>
                </c:pt>
                <c:pt idx="4">
                  <c:v>65</c:v>
                </c:pt>
                <c:pt idx="5">
                  <c:v>61</c:v>
                </c:pt>
                <c:pt idx="6">
                  <c:v>50</c:v>
                </c:pt>
                <c:pt idx="7">
                  <c:v>49</c:v>
                </c:pt>
                <c:pt idx="8">
                  <c:v>49</c:v>
                </c:pt>
                <c:pt idx="9">
                  <c:v>49</c:v>
                </c:pt>
                <c:pt idx="10">
                  <c:v>38</c:v>
                </c:pt>
                <c:pt idx="11">
                  <c:v>38</c:v>
                </c:pt>
              </c:numCache>
            </c:numRef>
          </c:val>
          <c:extLst>
            <c:ext xmlns:c16="http://schemas.microsoft.com/office/drawing/2014/chart" uri="{C3380CC4-5D6E-409C-BE32-E72D297353CC}">
              <c16:uniqueId val="{00000000-6520-4697-8B6C-39FC5438618F}"/>
            </c:ext>
          </c:extLst>
        </c:ser>
        <c:ser>
          <c:idx val="1"/>
          <c:order val="1"/>
          <c:tx>
            <c:strRef>
              <c:f>'Stock vs. Sales'!$C$2</c:f>
              <c:strCache>
                <c:ptCount val="1"/>
                <c:pt idx="0">
                  <c:v>Units Sold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'Stock vs. Sales'!$A$3:$A$15</c:f>
              <c:strCache>
                <c:ptCount val="12"/>
                <c:pt idx="0">
                  <c:v>Smartphone</c:v>
                </c:pt>
                <c:pt idx="1">
                  <c:v>Ethernet Cable</c:v>
                </c:pt>
                <c:pt idx="2">
                  <c:v>Keyboard</c:v>
                </c:pt>
                <c:pt idx="3">
                  <c:v>USB Flash Drive</c:v>
                </c:pt>
                <c:pt idx="4">
                  <c:v>Router</c:v>
                </c:pt>
                <c:pt idx="5">
                  <c:v>RAM</c:v>
                </c:pt>
                <c:pt idx="6">
                  <c:v>Webcam</c:v>
                </c:pt>
                <c:pt idx="7">
                  <c:v>Graphics Card</c:v>
                </c:pt>
                <c:pt idx="8">
                  <c:v>PC Case</c:v>
                </c:pt>
                <c:pt idx="9">
                  <c:v>Keyboard Cleaner</c:v>
                </c:pt>
                <c:pt idx="10">
                  <c:v>CPU</c:v>
                </c:pt>
                <c:pt idx="11">
                  <c:v>Desk Lamp</c:v>
                </c:pt>
              </c:strCache>
            </c:strRef>
          </c:cat>
          <c:val>
            <c:numRef>
              <c:f>'Stock vs. Sales'!$C$3:$C$15</c:f>
              <c:numCache>
                <c:formatCode>General</c:formatCode>
                <c:ptCount val="12"/>
                <c:pt idx="0">
                  <c:v>20</c:v>
                </c:pt>
                <c:pt idx="1">
                  <c:v>15</c:v>
                </c:pt>
                <c:pt idx="2">
                  <c:v>15</c:v>
                </c:pt>
                <c:pt idx="3">
                  <c:v>12</c:v>
                </c:pt>
                <c:pt idx="4">
                  <c:v>12</c:v>
                </c:pt>
                <c:pt idx="5">
                  <c:v>11</c:v>
                </c:pt>
                <c:pt idx="6">
                  <c:v>10</c:v>
                </c:pt>
                <c:pt idx="7">
                  <c:v>9</c:v>
                </c:pt>
                <c:pt idx="8">
                  <c:v>9</c:v>
                </c:pt>
                <c:pt idx="9">
                  <c:v>9</c:v>
                </c:pt>
                <c:pt idx="10">
                  <c:v>7</c:v>
                </c:pt>
                <c:pt idx="11">
                  <c:v>7</c:v>
                </c:pt>
              </c:numCache>
            </c:numRef>
          </c:val>
          <c:extLst>
            <c:ext xmlns:c16="http://schemas.microsoft.com/office/drawing/2014/chart" uri="{C3380CC4-5D6E-409C-BE32-E72D297353CC}">
              <c16:uniqueId val="{00000001-6520-4697-8B6C-39FC5438618F}"/>
            </c:ext>
          </c:extLst>
        </c:ser>
        <c:dLbls>
          <c:showLegendKey val="0"/>
          <c:showVal val="0"/>
          <c:showCatName val="0"/>
          <c:showSerName val="0"/>
          <c:showPercent val="0"/>
          <c:showBubbleSize val="0"/>
        </c:dLbls>
        <c:gapWidth val="100"/>
        <c:overlap val="-24"/>
        <c:axId val="373902672"/>
        <c:axId val="373905072"/>
      </c:barChart>
      <c:catAx>
        <c:axId val="37390267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3905072"/>
        <c:crosses val="autoZero"/>
        <c:auto val="1"/>
        <c:lblAlgn val="ctr"/>
        <c:lblOffset val="100"/>
        <c:noMultiLvlLbl val="0"/>
      </c:catAx>
      <c:valAx>
        <c:axId val="373905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3902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[computer-shop-inventory-dashboard.xlsx]Revenue vs. Cost!PivotTable3</c:name>
    <c:fmtId val="2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Revenue</a:t>
            </a:r>
            <a:r>
              <a:rPr lang="en-US" baseline="0"/>
              <a:t> vs. Cost</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vs. Cost'!$B$2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'Revenue vs. Cost'!$A$3:$A$13</c:f>
              <c:strCache>
                <c:ptCount val="10"/>
                <c:pt idx="0">
                  <c:v>CPU</c:v>
                </c:pt>
                <c:pt idx="1">
                  <c:v>Desk Lamp</c:v>
                </c:pt>
                <c:pt idx="2">
                  <c:v>Graphics Card</c:v>
                </c:pt>
                <c:pt idx="3">
                  <c:v>Keyboard</c:v>
                </c:pt>
                <c:pt idx="4">
                  <c:v>PC Case</c:v>
                </c:pt>
                <c:pt idx="5">
                  <c:v>RAM</c:v>
                </c:pt>
                <c:pt idx="6">
                  <c:v>Router</c:v>
                </c:pt>
                <c:pt idx="7">
                  <c:v>Smartphone</c:v>
                </c:pt>
                <c:pt idx="8">
                  <c:v>USB Flash Drive</c:v>
                </c:pt>
                <c:pt idx="9">
                  <c:v>Webcam</c:v>
                </c:pt>
              </c:strCache>
            </c:strRef>
          </c:cat>
          <c:val>
            <c:numRef>
              <c:f>'Revenue vs. Cost'!$B$3:$B$13</c:f>
              <c:numCache>
                <c:formatCode>_(* #,##0_);_(* \(#,##0\);_(* "-"??_);_(@_)</c:formatCode>
                <c:ptCount val="10"/>
                <c:pt idx="0">
                  <c:v>2450</c:v>
                </c:pt>
                <c:pt idx="1">
                  <c:v>210</c:v>
                </c:pt>
                <c:pt idx="2">
                  <c:v>5400</c:v>
                </c:pt>
                <c:pt idx="3">
                  <c:v>750</c:v>
                </c:pt>
                <c:pt idx="4">
                  <c:v>720</c:v>
                </c:pt>
                <c:pt idx="5">
                  <c:v>880</c:v>
                </c:pt>
                <c:pt idx="6">
                  <c:v>1800</c:v>
                </c:pt>
                <c:pt idx="7">
                  <c:v>18000</c:v>
                </c:pt>
                <c:pt idx="8">
                  <c:v>240</c:v>
                </c:pt>
                <c:pt idx="9">
                  <c:v>600</c:v>
                </c:pt>
              </c:numCache>
            </c:numRef>
          </c:val>
          <c:extLst>
            <c:ext xmlns:c16="http://schemas.microsoft.com/office/drawing/2014/chart" uri="{C3380CC4-5D6E-409C-BE32-E72D297353CC}">
              <c16:uniqueId val="{00000000-8876-4D31-A011-3CCE0EABE714}"/>
            </c:ext>
          </c:extLst>
        </c:ser>
        <c:dLbls>
          <c:showLegendKey val="0"/>
          <c:showVal val="0"/>
          <c:showCatName val="0"/>
          <c:showSerName val="0"/>
          <c:showPercent val="0"/>
          <c:showBubbleSize val="0"/>
        </c:dLbls>
        <c:gapWidth val="269"/>
        <c:axId val="1982277888"/>
        <c:axId val="1982278848"/>
      </c:barChart>
      <c:catAx>
        <c:axId val="198227788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2278848"/>
        <c:crosses val="autoZero"/>
        <c:auto val="1"/>
        <c:lblAlgn val="ctr"/>
        <c:lblOffset val="100"/>
        <c:noMultiLvlLbl val="0"/>
      </c:catAx>
      <c:valAx>
        <c:axId val="1982278848"/>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2277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[computer-shop-inventory-dashboard.xlsx]Sales Rate!PivotTable4</c:name>
    <c:fmtId val="2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 Rate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Rate'!$B$2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 Rate'!$A$3:$A$15</c:f>
              <c:strCache>
                <c:ptCount val="12"/>
                <c:pt idx="0">
                  <c:v>RAM</c:v>
                </c:pt>
                <c:pt idx="1">
                  <c:v>PC Case</c:v>
                </c:pt>
                <c:pt idx="2">
                  <c:v>Keyboard Cleaner</c:v>
                </c:pt>
                <c:pt idx="3">
                  <c:v>Graphics Card</c:v>
                </c:pt>
                <c:pt idx="4">
                  <c:v>CPU</c:v>
                </c:pt>
                <c:pt idx="5">
                  <c:v>Desk Lamp</c:v>
                </c:pt>
                <c:pt idx="6">
                  <c:v>Router</c:v>
                </c:pt>
                <c:pt idx="7">
                  <c:v>USB Flash Drive</c:v>
                </c:pt>
                <c:pt idx="8">
                  <c:v>Ethernet Cable</c:v>
                </c:pt>
                <c:pt idx="9">
                  <c:v>Webcam</c:v>
                </c:pt>
                <c:pt idx="10">
                  <c:v>Keyboard</c:v>
                </c:pt>
                <c:pt idx="11">
                  <c:v>Smartphone</c:v>
                </c:pt>
              </c:strCache>
            </c:strRef>
          </c:cat>
          <c:val>
            <c:numRef>
              <c:f>'Sales Rate'!$B$3:$B$15</c:f>
              <c:numCache>
                <c:formatCode>0.00%</c:formatCode>
                <c:ptCount val="12"/>
                <c:pt idx="0">
                  <c:v>0.15277777777777779</c:v>
                </c:pt>
                <c:pt idx="1">
                  <c:v>0.15517241379310345</c:v>
                </c:pt>
                <c:pt idx="2">
                  <c:v>0.15517241379310345</c:v>
                </c:pt>
                <c:pt idx="3">
                  <c:v>0.15517241379310345</c:v>
                </c:pt>
                <c:pt idx="4">
                  <c:v>0.15555555555555556</c:v>
                </c:pt>
                <c:pt idx="5">
                  <c:v>0.15555555555555556</c:v>
                </c:pt>
                <c:pt idx="6">
                  <c:v>0.15584415584415584</c:v>
                </c:pt>
                <c:pt idx="7">
                  <c:v>0.16</c:v>
                </c:pt>
                <c:pt idx="8">
                  <c:v>0.16666666666666666</c:v>
                </c:pt>
                <c:pt idx="9">
                  <c:v>0.16666666666666666</c:v>
                </c:pt>
                <c:pt idx="10">
                  <c:v>0.17647058823529413</c:v>
                </c:pt>
                <c:pt idx="11">
                  <c:v>0.2</c:v>
                </c:pt>
              </c:numCache>
            </c:numRef>
          </c:val>
          <c:extLst>
            <c:ext xmlns:c16="http://schemas.microsoft.com/office/drawing/2014/chart" uri="{C3380CC4-5D6E-409C-BE32-E72D297353CC}">
              <c16:uniqueId val="{00000000-2C27-4CED-AAF6-06EE0FD71202}"/>
            </c:ext>
          </c:extLst>
        </c:ser>
        <c:dLbls>
          <c:showLegendKey val="0"/>
          <c:showVal val="0"/>
          <c:showCatName val="0"/>
          <c:showSerName val="0"/>
          <c:showPercent val="0"/>
          <c:showBubbleSize val="0"/>
        </c:dLbls>
        <c:gapWidth val="115"/>
        <c:overlap val="-20"/>
        <c:axId val="507099488"/>
        <c:axId val="507093728"/>
      </c:barChart>
      <c:catAx>
        <c:axId val="50709948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7093728"/>
        <c:crosses val="autoZero"/>
        <c:auto val="1"/>
        <c:lblAlgn val="ctr"/>
        <c:lblOffset val="100"/>
        <c:noMultiLvlLbl val="0"/>
      </c:catAx>
      <c:valAx>
        <c:axId val="507093728"/>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7099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[computer-shop-inventory-dashboard.xlsx]Dead Stock!PivotTable5</c:name>
    <c:fmtId val="2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Dead</a:t>
            </a:r>
            <a:r>
              <a:rPr lang="en-US" baseline="0"/>
              <a:t> Stock</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'Dead Stock'!$B$2</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'Dead Stock'!$A$3:$A$10</c:f>
              <c:strCache>
                <c:ptCount val="7"/>
                <c:pt idx="0">
                  <c:v>Headphones</c:v>
                </c:pt>
                <c:pt idx="1">
                  <c:v>USB Hub</c:v>
                </c:pt>
                <c:pt idx="2">
                  <c:v>Gaming Desk</c:v>
                </c:pt>
                <c:pt idx="3">
                  <c:v>Monitor Stand</c:v>
                </c:pt>
                <c:pt idx="4">
                  <c:v>Monitor</c:v>
                </c:pt>
                <c:pt idx="5">
                  <c:v>Thermal Paste</c:v>
                </c:pt>
                <c:pt idx="6">
                  <c:v>Anti-Glare Screen Protector</c:v>
                </c:pt>
              </c:strCache>
            </c:strRef>
          </c:cat>
          <c:val>
            <c:numRef>
              <c:f>'Dead Stock'!$B$3:$B$10</c:f>
              <c:numCache>
                <c:formatCode>0.00%</c:formatCode>
                <c:ptCount val="7"/>
                <c:pt idx="0">
                  <c:v>7.4999999999999997E-2</c:v>
                </c:pt>
                <c:pt idx="1">
                  <c:v>8.5106382978723402E-2</c:v>
                </c:pt>
                <c:pt idx="2">
                  <c:v>8.5714285714285715E-2</c:v>
                </c:pt>
                <c:pt idx="3">
                  <c:v>8.5714285714285715E-2</c:v>
                </c:pt>
                <c:pt idx="4">
                  <c:v>9.0909090909090912E-2</c:v>
                </c:pt>
                <c:pt idx="5">
                  <c:v>9.0909090909090912E-2</c:v>
                </c:pt>
                <c:pt idx="6">
                  <c:v>9.0909090909090912E-2</c:v>
                </c:pt>
              </c:numCache>
            </c:numRef>
          </c:val>
          <c:extLst>
            <c:ext xmlns:c16="http://schemas.microsoft.com/office/drawing/2014/chart" uri="{C3380CC4-5D6E-409C-BE32-E72D297353CC}">
              <c16:uniqueId val="{00000000-2D5F-4F5D-8E20-98E8DF57DEE4}"/>
            </c:ext>
          </c:extLst>
        </c:ser>
        <c:dLbls>
          <c:showLegendKey val="0"/>
          <c:showVal val="0"/>
          <c:showCatName val="0"/>
          <c:showSerName val="0"/>
          <c:showPercent val="0"/>
          <c:showBubbleSize val="0"/>
        </c:dLbls>
        <c:gapWidth val="115"/>
        <c:overlap val="-20"/>
        <c:axId val="507139808"/>
        <c:axId val="507147968"/>
      </c:barChart>
      <c:catAx>
        <c:axId val="50713980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7147968"/>
        <c:crosses val="autoZero"/>
        <c:auto val="1"/>
        <c:lblAlgn val="ctr"/>
        <c:lblOffset val="100"/>
        <c:noMultiLvlLbl val="0"/>
      </c:catAx>
      <c:valAx>
        <c:axId val="507147968"/>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7139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tx>
        <cx:txData>
          <cx:v>Investment Recovery</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Investment Recovery</a:t>
          </a:r>
        </a:p>
      </cx:txPr>
    </cx:title>
    <cx:plotArea>
      <cx:plotAreaRegion>
        <cx:series layoutId="waterfall" uniqueId="{27680462-D933-446C-A411-B16C49891C04}">
          <cx:tx>
            <cx:txData>
              <cx:f>_xlchart.v1.1</cx:f>
              <cx:v> Gross Profit  </cx:v>
            </cx:txData>
          </cx:tx>
          <cx:dataId val="0"/>
          <cx:layoutPr>
            <cx:visibility connectorLines="0"/>
            <cx:subtotals>
              <cx:idx val="46"/>
            </cx:subtotals>
          </cx:layoutPr>
        </cx:series>
      </cx:plotAreaRegion>
      <cx:axis id="0">
        <cx:catScaling gapWidth="0.5"/>
        <cx:tickLabels/>
      </cx:axis>
      <cx:axis id="1">
        <cx:valScaling/>
        <cx:majorGridlines/>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val">
        <cx:f>_xlchart.v1.5</cx:f>
      </cx:numDim>
    </cx:data>
  </cx:chartData>
  <cx:chart>
    <cx:title pos="t" align="ctr" overlay="0">
      <cx:tx>
        <cx:txData>
          <cx:v>Investment Recovery</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Investment Recovery</a:t>
          </a:r>
        </a:p>
      </cx:txPr>
    </cx:title>
    <cx:plotArea>
      <cx:plotAreaRegion>
        <cx:series layoutId="waterfall" uniqueId="{EDC29D4E-EFFB-4140-9ADD-D04AF6D96020}">
          <cx:tx>
            <cx:txData>
              <cx:f>_xlchart.v1.4</cx:f>
              <cx:v> Gross Profit  </cx:v>
            </cx:txData>
          </cx:tx>
          <cx:dataId val="0"/>
          <cx:layoutPr>
            <cx:visibility connectorLines="0"/>
            <cx:subtotals>
              <cx:idx val="6"/>
            </cx:subtotals>
          </cx:layoutPr>
        </cx:series>
      </cx:plotAreaRegion>
      <cx:axis id="0">
        <cx:catScaling gapWidth="0.5"/>
        <cx:tickLabels/>
      </cx:axis>
      <cx:axis id="1">
        <cx:valScaling/>
        <cx:majorGridlines/>
        <cx:tickLabels/>
      </cx:axis>
    </cx:plotArea>
    <cx:legend pos="t" align="ctr"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val">
        <cx:f>_xlchart.v1.8</cx:f>
      </cx:numDim>
    </cx:data>
  </cx:chartData>
  <cx:chart>
    <cx:title pos="t" align="ctr" overlay="0">
      <cx:tx>
        <cx:txData>
          <cx:v>Investment Recovery</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Investment Recovery</a:t>
          </a:r>
        </a:p>
      </cx:txPr>
    </cx:title>
    <cx:plotArea>
      <cx:plotAreaRegion>
        <cx:series layoutId="waterfall" uniqueId="{EDC29D4E-EFFB-4140-9ADD-D04AF6D96020}">
          <cx:tx>
            <cx:txData>
              <cx:f>_xlchart.v1.7</cx:f>
              <cx:v> Gross Profit  </cx:v>
            </cx:txData>
          </cx:tx>
          <cx:dataId val="0"/>
          <cx:layoutPr>
            <cx:visibility connectorLines="0"/>
            <cx:subtotals>
              <cx:idx val="6"/>
            </cx:subtotals>
          </cx:layoutPr>
        </cx:series>
      </cx:plotAreaRegion>
      <cx:axis id="0">
        <cx:catScaling gapWidth="0.5"/>
        <cx:tickLabels/>
      </cx:axis>
      <cx:axis id="1">
        <cx:valScaling/>
        <cx:majorGridlines/>
        <cx:tickLabels/>
      </cx:axis>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89">
  <cs:axisTitle>
    <cs:lnRef idx="0"/>
    <cs:fillRef idx="0"/>
    <cs:effectRef idx="0"/>
    <cs:fontRef idx="minor">
      <a:schemeClr val="tx1">
        <a:lumMod val="65000"/>
        <a:lumOff val="35000"/>
      </a:schemeClr>
    </cs:fontRef>
    <cs:defRPr sz="9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lt1">
        <a:lumMod val="65000"/>
        <a:lumOff val="35000"/>
      </a:schemeClr>
    </cs:fontRef>
    <cs:spPr>
      <a:solidFill>
        <a:schemeClr val="dk1">
          <a:lumMod val="15000"/>
          <a:lumOff val="8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lumMod val="60000"/>
        </a:schemeClr>
      </a:solidFill>
    </cs:spPr>
  </cs:dataPointMarker>
  <cs:dataPointMarkerLayout symbol="circle" size="8"/>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2857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25400" cap="flat" cmpd="sng" algn="ctr">
        <a:solidFill>
          <a:schemeClr val="tx1">
            <a:lumMod val="65000"/>
            <a:lumOff val="35000"/>
          </a:schemeClr>
        </a:solidFill>
        <a:round/>
      </a:ln>
    </cs:spPr>
  </cs:hiLoLine>
  <cs:leaderLine>
    <cs:lnRef idx="0"/>
    <cs:fillRef idx="0"/>
    <cs:effectRef idx="0"/>
    <cs:fontRef idx="minor">
      <a:schemeClr val="dk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ajor">
      <a:schemeClr val="tx1">
        <a:lumMod val="65000"/>
        <a:lumOff val="35000"/>
      </a:schemeClr>
    </cs:fontRef>
    <cs:defRPr sz="200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28575">
        <a:solidFill>
          <a:schemeClr val="tx1">
            <a:lumMod val="50000"/>
            <a:lumOff val="50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89">
  <cs:axisTitle>
    <cs:lnRef idx="0"/>
    <cs:fillRef idx="0"/>
    <cs:effectRef idx="0"/>
    <cs:fontRef idx="minor">
      <a:schemeClr val="tx1">
        <a:lumMod val="65000"/>
        <a:lumOff val="35000"/>
      </a:schemeClr>
    </cs:fontRef>
    <cs:defRPr sz="9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lt1">
        <a:lumMod val="65000"/>
        <a:lumOff val="35000"/>
      </a:schemeClr>
    </cs:fontRef>
    <cs:spPr>
      <a:solidFill>
        <a:schemeClr val="dk1">
          <a:lumMod val="15000"/>
          <a:lumOff val="8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lumMod val="60000"/>
        </a:schemeClr>
      </a:solidFill>
    </cs:spPr>
  </cs:dataPointMarker>
  <cs:dataPointMarkerLayout symbol="circle" size="8"/>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2857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25400" cap="flat" cmpd="sng" algn="ctr">
        <a:solidFill>
          <a:schemeClr val="tx1">
            <a:lumMod val="65000"/>
            <a:lumOff val="35000"/>
          </a:schemeClr>
        </a:solidFill>
        <a:round/>
      </a:ln>
    </cs:spPr>
  </cs:hiLoLine>
  <cs:leaderLine>
    <cs:lnRef idx="0"/>
    <cs:fillRef idx="0"/>
    <cs:effectRef idx="0"/>
    <cs:fontRef idx="minor">
      <a:schemeClr val="dk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ajor">
      <a:schemeClr val="tx1">
        <a:lumMod val="65000"/>
        <a:lumOff val="35000"/>
      </a:schemeClr>
    </cs:fontRef>
    <cs:defRPr sz="200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28575">
        <a:solidFill>
          <a:schemeClr val="tx1">
            <a:lumMod val="50000"/>
            <a:lumOff val="50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89">
  <cs:axisTitle>
    <cs:lnRef idx="0"/>
    <cs:fillRef idx="0"/>
    <cs:effectRef idx="0"/>
    <cs:fontRef idx="minor">
      <a:schemeClr val="tx1">
        <a:lumMod val="65000"/>
        <a:lumOff val="35000"/>
      </a:schemeClr>
    </cs:fontRef>
    <cs:defRPr sz="9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lt1">
        <a:lumMod val="65000"/>
        <a:lumOff val="35000"/>
      </a:schemeClr>
    </cs:fontRef>
    <cs:spPr>
      <a:solidFill>
        <a:schemeClr val="dk1">
          <a:lumMod val="15000"/>
          <a:lumOff val="8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lumMod val="60000"/>
        </a:schemeClr>
      </a:solidFill>
    </cs:spPr>
  </cs:dataPointMarker>
  <cs:dataPointMarkerLayout symbol="circle" size="8"/>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2857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25400" cap="flat" cmpd="sng" algn="ctr">
        <a:solidFill>
          <a:schemeClr val="tx1">
            <a:lumMod val="65000"/>
            <a:lumOff val="35000"/>
          </a:schemeClr>
        </a:solidFill>
        <a:round/>
      </a:ln>
    </cs:spPr>
  </cs:hiLoLine>
  <cs:leaderLine>
    <cs:lnRef idx="0"/>
    <cs:fillRef idx="0"/>
    <cs:effectRef idx="0"/>
    <cs:fontRef idx="minor">
      <a:schemeClr val="dk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ajor">
      <a:schemeClr val="tx1">
        <a:lumMod val="65000"/>
        <a:lumOff val="35000"/>
      </a:schemeClr>
    </cs:fontRef>
    <cs:defRPr sz="200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28575">
        <a:solidFill>
          <a:schemeClr val="tx1">
            <a:lumMod val="50000"/>
            <a:lumOff val="50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2" Type="http://schemas.microsoft.com/office/2014/relationships/chartEx" Target="../charts/chartEx2.xml"/><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microsoft.com/office/2014/relationships/chartEx" Target="../charts/chartEx3.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19049</xdr:colOff>
      <xdr:row>1</xdr:row>
      <xdr:rowOff>4761</xdr:rowOff>
    </xdr:from>
    <xdr:to>
      <xdr:col>10</xdr:col>
      <xdr:colOff>209550</xdr:colOff>
      <xdr:row>23</xdr:row>
      <xdr:rowOff>9525</xdr:rowOff>
    </xdr:to>
    <xdr:graphicFrame macro="">
      <xdr:nvGraphicFramePr>
        <xdr:cNvPr id="4" name="Chart 3">
          <a:extLst>
            <a:ext uri="{FF2B5EF4-FFF2-40B4-BE49-F238E27FC236}">
              <a16:creationId xmlns:a16="http://schemas.microsoft.com/office/drawing/2014/main" id="{1BBF6FD4-4A63-FC8F-713E-E204F65626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19050</xdr:colOff>
      <xdr:row>1</xdr:row>
      <xdr:rowOff>4761</xdr:rowOff>
    </xdr:from>
    <xdr:to>
      <xdr:col>16</xdr:col>
      <xdr:colOff>190500</xdr:colOff>
      <xdr:row>23</xdr:row>
      <xdr:rowOff>9524</xdr:rowOff>
    </xdr:to>
    <xdr:graphicFrame macro="">
      <xdr:nvGraphicFramePr>
        <xdr:cNvPr id="3" name="Chart 2">
          <a:extLst>
            <a:ext uri="{FF2B5EF4-FFF2-40B4-BE49-F238E27FC236}">
              <a16:creationId xmlns:a16="http://schemas.microsoft.com/office/drawing/2014/main" id="{47220F71-13B0-E787-38E3-0032AB98BF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28576</xdr:colOff>
      <xdr:row>0</xdr:row>
      <xdr:rowOff>185738</xdr:rowOff>
    </xdr:from>
    <xdr:to>
      <xdr:col>16</xdr:col>
      <xdr:colOff>257175</xdr:colOff>
      <xdr:row>27</xdr:row>
      <xdr:rowOff>133350</xdr:rowOff>
    </xdr:to>
    <xdr:graphicFrame macro="">
      <xdr:nvGraphicFramePr>
        <xdr:cNvPr id="2" name="Chart 1">
          <a:extLst>
            <a:ext uri="{FF2B5EF4-FFF2-40B4-BE49-F238E27FC236}">
              <a16:creationId xmlns:a16="http://schemas.microsoft.com/office/drawing/2014/main" id="{18DB548A-8F83-14CD-2F4F-51AC62061F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33336</xdr:colOff>
      <xdr:row>1</xdr:row>
      <xdr:rowOff>33337</xdr:rowOff>
    </xdr:from>
    <xdr:to>
      <xdr:col>15</xdr:col>
      <xdr:colOff>590550</xdr:colOff>
      <xdr:row>23</xdr:row>
      <xdr:rowOff>66675</xdr:rowOff>
    </xdr:to>
    <xdr:graphicFrame macro="">
      <xdr:nvGraphicFramePr>
        <xdr:cNvPr id="2" name="Chart 1">
          <a:extLst>
            <a:ext uri="{FF2B5EF4-FFF2-40B4-BE49-F238E27FC236}">
              <a16:creationId xmlns:a16="http://schemas.microsoft.com/office/drawing/2014/main" id="{476ACAAC-EA62-8AC6-7E38-0C2FD1F036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31678</xdr:colOff>
      <xdr:row>2</xdr:row>
      <xdr:rowOff>47678</xdr:rowOff>
    </xdr:from>
    <xdr:to>
      <xdr:col>18</xdr:col>
      <xdr:colOff>536931</xdr:colOff>
      <xdr:row>27</xdr:row>
      <xdr:rowOff>159357</xdr:rowOff>
    </xdr:to>
    <mc:AlternateContent xmlns:mc="http://schemas.openxmlformats.org/markup-compatibility/2006">
      <mc:Choice xmlns:cx1="http://schemas.microsoft.com/office/drawing/2015/9/8/chartex" Requires="cx1">
        <xdr:graphicFrame macro="">
          <xdr:nvGraphicFramePr>
            <xdr:cNvPr id="7" name="Chart 6">
              <a:extLst>
                <a:ext uri="{FF2B5EF4-FFF2-40B4-BE49-F238E27FC236}">
                  <a16:creationId xmlns:a16="http://schemas.microsoft.com/office/drawing/2014/main" id="{4EE06BC5-4F59-DD0C-EB12-EF24C6C6FEF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518078" y="428678"/>
              <a:ext cx="7820453" cy="487417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14983</xdr:colOff>
      <xdr:row>52</xdr:row>
      <xdr:rowOff>3638</xdr:rowOff>
    </xdr:from>
    <xdr:to>
      <xdr:col>18</xdr:col>
      <xdr:colOff>481602</xdr:colOff>
      <xdr:row>76</xdr:row>
      <xdr:rowOff>64214</xdr:rowOff>
    </xdr:to>
    <mc:AlternateContent xmlns:mc="http://schemas.openxmlformats.org/markup-compatibility/2006">
      <mc:Choice xmlns:cx1="http://schemas.microsoft.com/office/drawing/2015/9/8/chartex" Requires="cx1">
        <xdr:graphicFrame macro="">
          <xdr:nvGraphicFramePr>
            <xdr:cNvPr id="9" name="Chart 8">
              <a:extLst>
                <a:ext uri="{FF2B5EF4-FFF2-40B4-BE49-F238E27FC236}">
                  <a16:creationId xmlns:a16="http://schemas.microsoft.com/office/drawing/2014/main" id="{EC4D5948-5B10-B68B-11D2-41FFBA2EC20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5501383" y="9909638"/>
              <a:ext cx="7781819" cy="463257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0</xdr:col>
      <xdr:colOff>12700</xdr:colOff>
      <xdr:row>11</xdr:row>
      <xdr:rowOff>103299</xdr:rowOff>
    </xdr:from>
    <xdr:to>
      <xdr:col>12</xdr:col>
      <xdr:colOff>215900</xdr:colOff>
      <xdr:row>29</xdr:row>
      <xdr:rowOff>10467</xdr:rowOff>
    </xdr:to>
    <xdr:graphicFrame macro="">
      <xdr:nvGraphicFramePr>
        <xdr:cNvPr id="16" name="Chart 15">
          <a:extLst>
            <a:ext uri="{FF2B5EF4-FFF2-40B4-BE49-F238E27FC236}">
              <a16:creationId xmlns:a16="http://schemas.microsoft.com/office/drawing/2014/main" id="{AC2397CE-5C8D-46AD-89AB-2B6F019FA5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254000</xdr:colOff>
      <xdr:row>11</xdr:row>
      <xdr:rowOff>112168</xdr:rowOff>
    </xdr:from>
    <xdr:to>
      <xdr:col>21</xdr:col>
      <xdr:colOff>602686</xdr:colOff>
      <xdr:row>29</xdr:row>
      <xdr:rowOff>38100</xdr:rowOff>
    </xdr:to>
    <xdr:graphicFrame macro="">
      <xdr:nvGraphicFramePr>
        <xdr:cNvPr id="17" name="Chart 16">
          <a:extLst>
            <a:ext uri="{FF2B5EF4-FFF2-40B4-BE49-F238E27FC236}">
              <a16:creationId xmlns:a16="http://schemas.microsoft.com/office/drawing/2014/main" id="{CFA75BA9-53C7-45F2-8206-201755630F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38100</xdr:colOff>
      <xdr:row>29</xdr:row>
      <xdr:rowOff>49457</xdr:rowOff>
    </xdr:from>
    <xdr:to>
      <xdr:col>12</xdr:col>
      <xdr:colOff>215899</xdr:colOff>
      <xdr:row>57</xdr:row>
      <xdr:rowOff>25401</xdr:rowOff>
    </xdr:to>
    <xdr:graphicFrame macro="">
      <xdr:nvGraphicFramePr>
        <xdr:cNvPr id="18" name="Chart 17">
          <a:extLst>
            <a:ext uri="{FF2B5EF4-FFF2-40B4-BE49-F238E27FC236}">
              <a16:creationId xmlns:a16="http://schemas.microsoft.com/office/drawing/2014/main" id="{0764C37B-41B5-443F-A8B3-C62A049755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245737</xdr:colOff>
      <xdr:row>29</xdr:row>
      <xdr:rowOff>75548</xdr:rowOff>
    </xdr:from>
    <xdr:to>
      <xdr:col>21</xdr:col>
      <xdr:colOff>584200</xdr:colOff>
      <xdr:row>42</xdr:row>
      <xdr:rowOff>14092</xdr:rowOff>
    </xdr:to>
    <xdr:graphicFrame macro="">
      <xdr:nvGraphicFramePr>
        <xdr:cNvPr id="19" name="Chart 18">
          <a:extLst>
            <a:ext uri="{FF2B5EF4-FFF2-40B4-BE49-F238E27FC236}">
              <a16:creationId xmlns:a16="http://schemas.microsoft.com/office/drawing/2014/main" id="{5444FF22-2AC8-4215-8A66-A17E9666F9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241300</xdr:colOff>
      <xdr:row>42</xdr:row>
      <xdr:rowOff>32099</xdr:rowOff>
    </xdr:from>
    <xdr:to>
      <xdr:col>22</xdr:col>
      <xdr:colOff>0</xdr:colOff>
      <xdr:row>57</xdr:row>
      <xdr:rowOff>47624</xdr:rowOff>
    </xdr:to>
    <mc:AlternateContent xmlns:mc="http://schemas.openxmlformats.org/markup-compatibility/2006">
      <mc:Choice xmlns:cx1="http://schemas.microsoft.com/office/drawing/2015/9/8/chartex" Requires="cx1">
        <xdr:graphicFrame macro="">
          <xdr:nvGraphicFramePr>
            <xdr:cNvPr id="21" name="Chart 20">
              <a:extLst>
                <a:ext uri="{FF2B5EF4-FFF2-40B4-BE49-F238E27FC236}">
                  <a16:creationId xmlns:a16="http://schemas.microsoft.com/office/drawing/2014/main" id="{804B136C-968F-41E9-896C-1FDAFE53BD8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7556500" y="8280749"/>
              <a:ext cx="5854700" cy="287302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20979</xdr:colOff>
      <xdr:row>3</xdr:row>
      <xdr:rowOff>22284</xdr:rowOff>
    </xdr:from>
    <xdr:to>
      <xdr:col>5</xdr:col>
      <xdr:colOff>41868</xdr:colOff>
      <xdr:row>11</xdr:row>
      <xdr:rowOff>83737</xdr:rowOff>
    </xdr:to>
    <mc:AlternateContent xmlns:mc="http://schemas.openxmlformats.org/markup-compatibility/2006" xmlns:a14="http://schemas.microsoft.com/office/drawing/2010/main">
      <mc:Choice Requires="a14">
        <xdr:graphicFrame macro="">
          <xdr:nvGraphicFramePr>
            <xdr:cNvPr id="6" name="Category">
              <a:extLst>
                <a:ext uri="{FF2B5EF4-FFF2-40B4-BE49-F238E27FC236}">
                  <a16:creationId xmlns:a16="http://schemas.microsoft.com/office/drawing/2014/main" id="{6AFB163B-AB41-4C45-9305-55FCA82A9B9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0979" y="847784"/>
              <a:ext cx="3037139" cy="15854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65629</xdr:colOff>
      <xdr:row>3</xdr:row>
      <xdr:rowOff>26481</xdr:rowOff>
    </xdr:from>
    <xdr:to>
      <xdr:col>10</xdr:col>
      <xdr:colOff>73270</xdr:colOff>
      <xdr:row>11</xdr:row>
      <xdr:rowOff>83737</xdr:rowOff>
    </xdr:to>
    <mc:AlternateContent xmlns:mc="http://schemas.openxmlformats.org/markup-compatibility/2006" xmlns:a14="http://schemas.microsoft.com/office/drawing/2010/main">
      <mc:Choice Requires="a14">
        <xdr:graphicFrame macro="">
          <xdr:nvGraphicFramePr>
            <xdr:cNvPr id="7" name="Status">
              <a:extLst>
                <a:ext uri="{FF2B5EF4-FFF2-40B4-BE49-F238E27FC236}">
                  <a16:creationId xmlns:a16="http://schemas.microsoft.com/office/drawing/2014/main" id="{48250B8A-0ACA-5D92-E161-B302D1E045EF}"/>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3081879" y="851981"/>
              <a:ext cx="3023891" cy="15812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97029</xdr:colOff>
      <xdr:row>3</xdr:row>
      <xdr:rowOff>26481</xdr:rowOff>
    </xdr:from>
    <xdr:to>
      <xdr:col>21</xdr:col>
      <xdr:colOff>607087</xdr:colOff>
      <xdr:row>11</xdr:row>
      <xdr:rowOff>94204</xdr:rowOff>
    </xdr:to>
    <mc:AlternateContent xmlns:mc="http://schemas.openxmlformats.org/markup-compatibility/2006" xmlns:a14="http://schemas.microsoft.com/office/drawing/2010/main">
      <mc:Choice Requires="a14">
        <xdr:graphicFrame macro="">
          <xdr:nvGraphicFramePr>
            <xdr:cNvPr id="8" name="Product Name">
              <a:extLst>
                <a:ext uri="{FF2B5EF4-FFF2-40B4-BE49-F238E27FC236}">
                  <a16:creationId xmlns:a16="http://schemas.microsoft.com/office/drawing/2014/main" id="{64EA22DE-EAA1-0DA0-5897-5D15BBFFB9D8}"/>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mlns="">
        <xdr:sp macro="" textlink="">
          <xdr:nvSpPr>
            <xdr:cNvPr id="0" name=""/>
            <xdr:cNvSpPr>
              <a:spLocks noTextEdit="1"/>
            </xdr:cNvSpPr>
          </xdr:nvSpPr>
          <xdr:spPr>
            <a:xfrm>
              <a:off x="6129529" y="851981"/>
              <a:ext cx="7145808" cy="15917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https://d.docs.live.net/66b435328941a900/Documents/Inventory-Records-Sample-Data%20(version%201)%20(version%201).xlsb.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79.058730092591" createdVersion="8" refreshedVersion="8" minRefreshableVersion="3" recordCount="46" xr:uid="{5B43C5CF-0A32-4533-B786-E0EDF7445E05}">
  <cacheSource type="worksheet">
    <worksheetSource ref="A1:L47" sheet="Working Sheet" r:id="rId2"/>
  </cacheSource>
  <cacheFields count="13">
    <cacheField name="Product ID" numFmtId="0">
      <sharedItems/>
    </cacheField>
    <cacheField name="Product Name" numFmtId="0">
      <sharedItems count="46">
        <s v="Smartphone"/>
        <s v="Keyboard"/>
        <s v="Webcam"/>
        <s v="Ethernet Cable"/>
        <s v="USB Flash Drive"/>
        <s v="Router"/>
        <s v="Desk Lamp"/>
        <s v="CPU"/>
        <s v="Graphics Card"/>
        <s v="PC Case"/>
        <s v="Keyboard Cleaner"/>
        <s v="RAM"/>
        <s v="Laptop"/>
        <s v="Gaming Mouse"/>
        <s v="HDD"/>
        <s v="Wireless Earbuds"/>
        <s v="External Hard Drive"/>
        <s v="Motherboard"/>
        <s v="Power Strip"/>
        <s v="Laptop Cooling Pad"/>
        <s v="USB-C Adapter"/>
        <s v="USB-C Cable"/>
        <s v="Tablet"/>
        <s v="SSD"/>
        <s v="Wireless Charger"/>
        <s v="Power Supply"/>
        <s v="Laptop Sleeve"/>
        <s v="Gaming Keyboard"/>
        <s v="Gaming Monitor"/>
        <s v="Mouse Pad"/>
        <s v="Printer Cable"/>
        <s v="Desk Chair"/>
        <s v="Gaming Headset"/>
        <s v="WiFi Adapter"/>
        <s v="Wireless Mouse"/>
        <s v="Gaming Chair"/>
        <s v="CPU Cooler"/>
        <s v="Cable Management Kit"/>
        <s v="External DVD Drive"/>
        <s v="Monitor"/>
        <s v="Thermal Paste"/>
        <s v="Anti-Glare Screen Protector"/>
        <s v="Monitor Stand"/>
        <s v="Gaming Desk"/>
        <s v="USB Hub"/>
        <s v="Headphones"/>
      </sharedItems>
    </cacheField>
    <cacheField name="Category" numFmtId="0">
      <sharedItems count="4">
        <s v="Mobile"/>
        <s v="Peripherals"/>
        <s v="Accessories"/>
        <s v="Computing"/>
      </sharedItems>
    </cacheField>
    <cacheField name="Opening _x000a_Stock" numFmtId="0">
      <sharedItems containsSemiMixedTypes="0" containsString="0" containsNumber="1" containsInteger="1" minValue="15" maxValue="70"/>
    </cacheField>
    <cacheField name="Purchase/_x000a_Stock in" numFmtId="0">
      <sharedItems containsSemiMixedTypes="0" containsString="0" containsNumber="1" containsInteger="1" minValue="6" maxValue="30"/>
    </cacheField>
    <cacheField name=" Units Sold" numFmtId="0">
      <sharedItems containsSemiMixedTypes="0" containsString="0" containsNumber="1" containsInteger="1" minValue="2" maxValue="20"/>
    </cacheField>
    <cacheField name="Hand-In-_x000a_Stock" numFmtId="0">
      <sharedItems containsSemiMixedTypes="0" containsString="0" containsNumber="1" containsInteger="1" minValue="19" maxValue="80"/>
    </cacheField>
    <cacheField name="Cost Price _x000a_Per Unit (USD)" numFmtId="164">
      <sharedItems containsSemiMixedTypes="0" containsString="0" containsNumber="1" containsInteger="1" minValue="5" maxValue="1200"/>
    </cacheField>
    <cacheField name="Cost Price _x000a_Total (USD)" numFmtId="164">
      <sharedItems containsSemiMixedTypes="0" containsString="0" containsNumber="1" containsInteger="1" minValue="155" maxValue="72000"/>
    </cacheField>
    <cacheField name="Sales Per Product (USD)" numFmtId="164">
      <sharedItems containsSemiMixedTypes="0" containsString="0" containsNumber="1" containsInteger="1" minValue="20" maxValue="18000"/>
    </cacheField>
    <cacheField name="Sales Rate" numFmtId="10">
      <sharedItems containsSemiMixedTypes="0" containsString="0" containsNumber="1" minValue="7.4999999999999997E-2" maxValue="0.2"/>
    </cacheField>
    <cacheField name="Status" numFmtId="0">
      <sharedItems count="3">
        <s v="Best Seller"/>
        <s v="Average"/>
        <s v="Dead Stock"/>
      </sharedItems>
    </cacheField>
    <cacheField name="Gross Profit" numFmtId="0" formula="'Sales Per Product (USD)'-'Cost Price _x000a_Total (USD)'" databaseField="0"/>
  </cacheFields>
  <extLst>
    <ext xmlns:x14="http://schemas.microsoft.com/office/spreadsheetml/2009/9/main" uri="{725AE2AE-9491-48be-B2B4-4EB974FC3084}">
      <x14:pivotCacheDefinition pivotCacheId="9974698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6">
  <r>
    <s v="P105"/>
    <x v="0"/>
    <x v="0"/>
    <n v="70"/>
    <n v="30"/>
    <n v="20"/>
    <n v="80"/>
    <n v="900"/>
    <n v="72000"/>
    <n v="18000"/>
    <n v="0.2"/>
    <x v="0"/>
  </r>
  <r>
    <s v="P103"/>
    <x v="1"/>
    <x v="1"/>
    <n v="60"/>
    <n v="25"/>
    <n v="15"/>
    <n v="70"/>
    <n v="50"/>
    <n v="3500"/>
    <n v="750"/>
    <n v="0.17647058823529413"/>
    <x v="0"/>
  </r>
  <r>
    <s v="P110"/>
    <x v="2"/>
    <x v="1"/>
    <n v="40"/>
    <n v="20"/>
    <n v="10"/>
    <n v="50"/>
    <n v="60"/>
    <n v="3000"/>
    <n v="600"/>
    <n v="0.16666666666666666"/>
    <x v="0"/>
  </r>
  <r>
    <s v="P114"/>
    <x v="3"/>
    <x v="2"/>
    <n v="60"/>
    <n v="30"/>
    <n v="15"/>
    <n v="75"/>
    <n v="10"/>
    <n v="750"/>
    <n v="150"/>
    <n v="0.16666666666666666"/>
    <x v="0"/>
  </r>
  <r>
    <s v="P113"/>
    <x v="4"/>
    <x v="2"/>
    <n v="50"/>
    <n v="25"/>
    <n v="12"/>
    <n v="63"/>
    <n v="20"/>
    <n v="1260"/>
    <n v="240"/>
    <n v="0.16"/>
    <x v="0"/>
  </r>
  <r>
    <s v="P107"/>
    <x v="5"/>
    <x v="1"/>
    <n v="55"/>
    <n v="22"/>
    <n v="12"/>
    <n v="65"/>
    <n v="150"/>
    <n v="9750"/>
    <n v="1800"/>
    <n v="0.15584415584415584"/>
    <x v="0"/>
  </r>
  <r>
    <s v="P112"/>
    <x v="6"/>
    <x v="2"/>
    <n v="30"/>
    <n v="15"/>
    <n v="7"/>
    <n v="38"/>
    <n v="30"/>
    <n v="1140"/>
    <n v="210"/>
    <n v="0.15555555555555556"/>
    <x v="0"/>
  </r>
  <r>
    <s v="P123"/>
    <x v="7"/>
    <x v="3"/>
    <n v="30"/>
    <n v="15"/>
    <n v="7"/>
    <n v="38"/>
    <n v="350"/>
    <n v="13300"/>
    <n v="2450"/>
    <n v="0.15555555555555556"/>
    <x v="0"/>
  </r>
  <r>
    <s v="P122"/>
    <x v="8"/>
    <x v="3"/>
    <n v="40"/>
    <n v="18"/>
    <n v="9"/>
    <n v="49"/>
    <n v="600"/>
    <n v="29400"/>
    <n v="5400"/>
    <n v="0.15517241379310345"/>
    <x v="0"/>
  </r>
  <r>
    <s v="P129"/>
    <x v="9"/>
    <x v="3"/>
    <n v="40"/>
    <n v="18"/>
    <n v="9"/>
    <n v="49"/>
    <n v="80"/>
    <n v="3920"/>
    <n v="720"/>
    <n v="0.15517241379310345"/>
    <x v="0"/>
  </r>
  <r>
    <s v="P138"/>
    <x v="10"/>
    <x v="2"/>
    <n v="40"/>
    <n v="18"/>
    <n v="9"/>
    <n v="49"/>
    <n v="8"/>
    <n v="392"/>
    <n v="72"/>
    <n v="0.15517241379310345"/>
    <x v="0"/>
  </r>
  <r>
    <s v="P125"/>
    <x v="11"/>
    <x v="3"/>
    <n v="50"/>
    <n v="22"/>
    <n v="11"/>
    <n v="61"/>
    <n v="80"/>
    <n v="4880"/>
    <n v="880"/>
    <n v="0.15277777777777779"/>
    <x v="0"/>
  </r>
  <r>
    <s v="P101"/>
    <x v="12"/>
    <x v="3"/>
    <n v="50"/>
    <n v="20"/>
    <n v="10"/>
    <n v="60"/>
    <n v="1200"/>
    <n v="72000"/>
    <n v="12000"/>
    <n v="0.14285714285714285"/>
    <x v="1"/>
  </r>
  <r>
    <s v="P118"/>
    <x v="13"/>
    <x v="1"/>
    <n v="30"/>
    <n v="12"/>
    <n v="6"/>
    <n v="36"/>
    <n v="80"/>
    <n v="2880"/>
    <n v="480"/>
    <n v="0.14285714285714285"/>
    <x v="1"/>
  </r>
  <r>
    <s v="P127"/>
    <x v="14"/>
    <x v="3"/>
    <n v="60"/>
    <n v="25"/>
    <n v="12"/>
    <n v="73"/>
    <n v="60"/>
    <n v="4380"/>
    <n v="720"/>
    <n v="0.14117647058823529"/>
    <x v="1"/>
  </r>
  <r>
    <s v="P109"/>
    <x v="15"/>
    <x v="1"/>
    <n v="35"/>
    <n v="15"/>
    <n v="7"/>
    <n v="43"/>
    <n v="80"/>
    <n v="3440"/>
    <n v="560"/>
    <n v="0.14000000000000001"/>
    <x v="1"/>
  </r>
  <r>
    <s v="P108"/>
    <x v="16"/>
    <x v="2"/>
    <n v="25"/>
    <n v="12"/>
    <n v="5"/>
    <n v="32"/>
    <n v="200"/>
    <n v="6400"/>
    <n v="1000"/>
    <n v="0.13513513513513514"/>
    <x v="1"/>
  </r>
  <r>
    <s v="P124"/>
    <x v="17"/>
    <x v="3"/>
    <n v="25"/>
    <n v="12"/>
    <n v="5"/>
    <n v="32"/>
    <n v="200"/>
    <n v="6400"/>
    <n v="1000"/>
    <n v="0.13513513513513514"/>
    <x v="1"/>
  </r>
  <r>
    <s v="P115"/>
    <x v="18"/>
    <x v="2"/>
    <n v="40"/>
    <n v="20"/>
    <n v="8"/>
    <n v="52"/>
    <n v="25"/>
    <n v="1300"/>
    <n v="200"/>
    <n v="0.13333333333333333"/>
    <x v="1"/>
  </r>
  <r>
    <s v="P139"/>
    <x v="19"/>
    <x v="2"/>
    <n v="30"/>
    <n v="15"/>
    <n v="6"/>
    <n v="39"/>
    <n v="20"/>
    <n v="780"/>
    <n v="120"/>
    <n v="0.13333333333333333"/>
    <x v="1"/>
  </r>
  <r>
    <s v="P142"/>
    <x v="20"/>
    <x v="2"/>
    <n v="20"/>
    <n v="10"/>
    <n v="4"/>
    <n v="26"/>
    <n v="15"/>
    <n v="390"/>
    <n v="60"/>
    <n v="0.13333333333333333"/>
    <x v="1"/>
  </r>
  <r>
    <s v="P145"/>
    <x v="21"/>
    <x v="2"/>
    <n v="50"/>
    <n v="20"/>
    <n v="9"/>
    <n v="61"/>
    <n v="8"/>
    <n v="488"/>
    <n v="72"/>
    <n v="0.12857142857142856"/>
    <x v="1"/>
  </r>
  <r>
    <s v="P106"/>
    <x v="22"/>
    <x v="0"/>
    <n v="45"/>
    <n v="18"/>
    <n v="8"/>
    <n v="55"/>
    <n v="700"/>
    <n v="38500"/>
    <n v="5600"/>
    <n v="0.12698412698412698"/>
    <x v="1"/>
  </r>
  <r>
    <s v="P126"/>
    <x v="23"/>
    <x v="3"/>
    <n v="45"/>
    <n v="20"/>
    <n v="8"/>
    <n v="57"/>
    <n v="120"/>
    <n v="6840"/>
    <n v="960"/>
    <n v="0.12307692307692308"/>
    <x v="1"/>
  </r>
  <r>
    <s v="P144"/>
    <x v="24"/>
    <x v="2"/>
    <n v="40"/>
    <n v="18"/>
    <n v="7"/>
    <n v="51"/>
    <n v="30"/>
    <n v="1530"/>
    <n v="210"/>
    <n v="0.1206896551724138"/>
    <x v="1"/>
  </r>
  <r>
    <s v="P128"/>
    <x v="25"/>
    <x v="3"/>
    <n v="35"/>
    <n v="15"/>
    <n v="6"/>
    <n v="44"/>
    <n v="100"/>
    <n v="4400"/>
    <n v="600"/>
    <n v="0.12"/>
    <x v="1"/>
  </r>
  <r>
    <s v="P143"/>
    <x v="26"/>
    <x v="2"/>
    <n v="30"/>
    <n v="12"/>
    <n v="5"/>
    <n v="37"/>
    <n v="20"/>
    <n v="740"/>
    <n v="100"/>
    <n v="0.11904761904761904"/>
    <x v="1"/>
  </r>
  <r>
    <s v="P117"/>
    <x v="27"/>
    <x v="1"/>
    <n v="25"/>
    <n v="10"/>
    <n v="4"/>
    <n v="31"/>
    <n v="100"/>
    <n v="3100"/>
    <n v="400"/>
    <n v="0.11428571428571428"/>
    <x v="1"/>
  </r>
  <r>
    <s v="P121"/>
    <x v="28"/>
    <x v="1"/>
    <n v="25"/>
    <n v="10"/>
    <n v="4"/>
    <n v="31"/>
    <n v="400"/>
    <n v="12400"/>
    <n v="1600"/>
    <n v="0.11428571428571428"/>
    <x v="1"/>
  </r>
  <r>
    <s v="P132"/>
    <x v="29"/>
    <x v="2"/>
    <n v="50"/>
    <n v="20"/>
    <n v="8"/>
    <n v="62"/>
    <n v="10"/>
    <n v="620"/>
    <n v="80"/>
    <n v="0.11428571428571428"/>
    <x v="1"/>
  </r>
  <r>
    <s v="P137"/>
    <x v="30"/>
    <x v="2"/>
    <n v="25"/>
    <n v="10"/>
    <n v="4"/>
    <n v="31"/>
    <n v="5"/>
    <n v="155"/>
    <n v="20"/>
    <n v="0.11428571428571428"/>
    <x v="1"/>
  </r>
  <r>
    <s v="P111"/>
    <x v="31"/>
    <x v="2"/>
    <n v="20"/>
    <n v="8"/>
    <n v="3"/>
    <n v="25"/>
    <n v="150"/>
    <n v="3750"/>
    <n v="450"/>
    <n v="0.10714285714285714"/>
    <x v="1"/>
  </r>
  <r>
    <s v="P119"/>
    <x v="32"/>
    <x v="1"/>
    <n v="20"/>
    <n v="8"/>
    <n v="3"/>
    <n v="25"/>
    <n v="120"/>
    <n v="3000"/>
    <n v="360"/>
    <n v="0.10714285714285714"/>
    <x v="1"/>
  </r>
  <r>
    <s v="P135"/>
    <x v="33"/>
    <x v="1"/>
    <n v="20"/>
    <n v="8"/>
    <n v="3"/>
    <n v="25"/>
    <n v="20"/>
    <n v="500"/>
    <n v="60"/>
    <n v="0.10714285714285714"/>
    <x v="1"/>
  </r>
  <r>
    <s v="P116"/>
    <x v="34"/>
    <x v="1"/>
    <n v="35"/>
    <n v="15"/>
    <n v="5"/>
    <n v="45"/>
    <n v="40"/>
    <n v="1800"/>
    <n v="200"/>
    <n v="0.1"/>
    <x v="2"/>
  </r>
  <r>
    <s v="P120"/>
    <x v="35"/>
    <x v="2"/>
    <n v="15"/>
    <n v="6"/>
    <n v="2"/>
    <n v="19"/>
    <n v="200"/>
    <n v="3800"/>
    <n v="400"/>
    <n v="9.5238095238095233E-2"/>
    <x v="2"/>
  </r>
  <r>
    <s v="P130"/>
    <x v="36"/>
    <x v="3"/>
    <n v="30"/>
    <n v="12"/>
    <n v="4"/>
    <n v="38"/>
    <n v="50"/>
    <n v="1900"/>
    <n v="200"/>
    <n v="9.5238095238095233E-2"/>
    <x v="2"/>
  </r>
  <r>
    <s v="P134"/>
    <x v="37"/>
    <x v="2"/>
    <n v="30"/>
    <n v="12"/>
    <n v="4"/>
    <n v="38"/>
    <n v="15"/>
    <n v="570"/>
    <n v="60"/>
    <n v="9.5238095238095233E-2"/>
    <x v="2"/>
  </r>
  <r>
    <s v="P136"/>
    <x v="38"/>
    <x v="2"/>
    <n v="15"/>
    <n v="6"/>
    <n v="2"/>
    <n v="19"/>
    <n v="50"/>
    <n v="950"/>
    <n v="100"/>
    <n v="9.5238095238095233E-2"/>
    <x v="2"/>
  </r>
  <r>
    <s v="P102"/>
    <x v="39"/>
    <x v="1"/>
    <n v="40"/>
    <n v="15"/>
    <n v="5"/>
    <n v="50"/>
    <n v="500"/>
    <n v="25000"/>
    <n v="2500"/>
    <n v="9.0909090909090912E-2"/>
    <x v="2"/>
  </r>
  <r>
    <s v="P133"/>
    <x v="40"/>
    <x v="2"/>
    <n v="40"/>
    <n v="15"/>
    <n v="5"/>
    <n v="50"/>
    <n v="5"/>
    <n v="250"/>
    <n v="25"/>
    <n v="9.0909090909090912E-2"/>
    <x v="2"/>
  </r>
  <r>
    <s v="P141"/>
    <x v="41"/>
    <x v="2"/>
    <n v="25"/>
    <n v="8"/>
    <n v="3"/>
    <n v="30"/>
    <n v="10"/>
    <n v="300"/>
    <n v="30"/>
    <n v="9.0909090909090912E-2"/>
    <x v="2"/>
  </r>
  <r>
    <s v="P131"/>
    <x v="42"/>
    <x v="2"/>
    <n v="25"/>
    <n v="10"/>
    <n v="3"/>
    <n v="32"/>
    <n v="30"/>
    <n v="960"/>
    <n v="90"/>
    <n v="8.5714285714285715E-2"/>
    <x v="2"/>
  </r>
  <r>
    <s v="P146"/>
    <x v="43"/>
    <x v="2"/>
    <n v="25"/>
    <n v="10"/>
    <n v="3"/>
    <n v="32"/>
    <n v="150"/>
    <n v="4800"/>
    <n v="450"/>
    <n v="8.5714285714285715E-2"/>
    <x v="2"/>
  </r>
  <r>
    <s v="P140"/>
    <x v="44"/>
    <x v="2"/>
    <n v="35"/>
    <n v="12"/>
    <n v="4"/>
    <n v="43"/>
    <n v="15"/>
    <n v="645"/>
    <n v="60"/>
    <n v="8.5106382978723402E-2"/>
    <x v="2"/>
  </r>
  <r>
    <s v="P104"/>
    <x v="45"/>
    <x v="1"/>
    <n v="30"/>
    <n v="10"/>
    <n v="3"/>
    <n v="37"/>
    <n v="100"/>
    <n v="3700"/>
    <n v="300"/>
    <n v="7.4999999999999997E-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93B3F4E-AB91-4DC3-A3A0-51B33AE4984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2:C15" firstHeaderRow="0" firstDataRow="1" firstDataCol="1"/>
  <pivotFields count="13">
    <pivotField showAll="0"/>
    <pivotField axis="axisRow" showAll="0" sortType="descending">
      <items count="47">
        <item x="41"/>
        <item x="37"/>
        <item x="7"/>
        <item x="36"/>
        <item x="31"/>
        <item x="6"/>
        <item x="3"/>
        <item x="38"/>
        <item x="16"/>
        <item x="35"/>
        <item x="43"/>
        <item x="32"/>
        <item x="27"/>
        <item x="28"/>
        <item x="13"/>
        <item x="8"/>
        <item x="14"/>
        <item x="45"/>
        <item x="1"/>
        <item x="10"/>
        <item x="12"/>
        <item x="19"/>
        <item x="26"/>
        <item x="39"/>
        <item x="42"/>
        <item x="17"/>
        <item x="29"/>
        <item x="9"/>
        <item x="18"/>
        <item x="25"/>
        <item x="30"/>
        <item x="11"/>
        <item x="5"/>
        <item x="0"/>
        <item x="23"/>
        <item x="22"/>
        <item x="40"/>
        <item x="4"/>
        <item x="44"/>
        <item x="20"/>
        <item x="21"/>
        <item x="2"/>
        <item x="33"/>
        <item x="24"/>
        <item x="15"/>
        <item x="34"/>
        <item t="default"/>
      </items>
      <autoSortScope>
        <pivotArea dataOnly="0" outline="0" fieldPosition="0">
          <references count="1">
            <reference field="4294967294" count="1" selected="0">
              <x v="1"/>
            </reference>
          </references>
        </pivotArea>
      </autoSortScope>
    </pivotField>
    <pivotField showAll="0">
      <items count="5">
        <item x="2"/>
        <item x="3"/>
        <item x="0"/>
        <item x="1"/>
        <item t="default"/>
      </items>
    </pivotField>
    <pivotField showAll="0"/>
    <pivotField showAll="0"/>
    <pivotField dataField="1" showAll="0"/>
    <pivotField dataField="1" showAll="0"/>
    <pivotField numFmtId="164" showAll="0"/>
    <pivotField numFmtId="164" showAll="0"/>
    <pivotField numFmtId="164" showAll="0"/>
    <pivotField numFmtId="10" showAll="0"/>
    <pivotField showAll="0">
      <items count="4">
        <item h="1" x="1"/>
        <item x="0"/>
        <item h="1" x="2"/>
        <item t="default"/>
      </items>
    </pivotField>
    <pivotField dragToRow="0" dragToCol="0" dragToPage="0" showAll="0" defaultSubtotal="0"/>
  </pivotFields>
  <rowFields count="1">
    <field x="1"/>
  </rowFields>
  <rowItems count="13">
    <i>
      <x v="33"/>
    </i>
    <i>
      <x v="6"/>
    </i>
    <i>
      <x v="18"/>
    </i>
    <i>
      <x v="37"/>
    </i>
    <i>
      <x v="32"/>
    </i>
    <i>
      <x v="31"/>
    </i>
    <i>
      <x v="41"/>
    </i>
    <i>
      <x v="15"/>
    </i>
    <i>
      <x v="27"/>
    </i>
    <i>
      <x v="19"/>
    </i>
    <i>
      <x v="2"/>
    </i>
    <i>
      <x v="5"/>
    </i>
    <i t="grand">
      <x/>
    </i>
  </rowItems>
  <colFields count="1">
    <field x="-2"/>
  </colFields>
  <colItems count="2">
    <i>
      <x/>
    </i>
    <i i="1">
      <x v="1"/>
    </i>
  </colItems>
  <dataFields count="2">
    <dataField name="Hand-In-Stock" fld="6" baseField="1" baseItem="0"/>
    <dataField name="Units Sold" fld="5" baseField="1"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6" format="4"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1"/>
          </reference>
        </references>
      </pivotArea>
    </chartFormat>
    <chartFormat chart="20" format="4"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B58EE71-5DAD-44D0-80C2-3CB4B58B458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2:B13" firstHeaderRow="1" firstDataRow="1" firstDataCol="1"/>
  <pivotFields count="13">
    <pivotField showAll="0"/>
    <pivotField axis="axisRow" showAll="0" measureFilter="1">
      <items count="47">
        <item x="41"/>
        <item x="37"/>
        <item x="7"/>
        <item x="36"/>
        <item x="31"/>
        <item x="6"/>
        <item x="3"/>
        <item x="38"/>
        <item x="16"/>
        <item x="35"/>
        <item x="43"/>
        <item x="32"/>
        <item x="27"/>
        <item x="28"/>
        <item x="13"/>
        <item x="8"/>
        <item x="14"/>
        <item x="45"/>
        <item x="1"/>
        <item x="10"/>
        <item x="12"/>
        <item x="19"/>
        <item x="26"/>
        <item x="39"/>
        <item x="42"/>
        <item x="17"/>
        <item x="29"/>
        <item x="9"/>
        <item x="18"/>
        <item x="25"/>
        <item x="30"/>
        <item x="11"/>
        <item x="5"/>
        <item x="0"/>
        <item x="23"/>
        <item x="22"/>
        <item x="40"/>
        <item x="4"/>
        <item x="44"/>
        <item x="20"/>
        <item x="21"/>
        <item x="2"/>
        <item x="33"/>
        <item x="24"/>
        <item x="15"/>
        <item x="34"/>
        <item t="default"/>
      </items>
    </pivotField>
    <pivotField showAll="0">
      <items count="5">
        <item x="2"/>
        <item x="3"/>
        <item x="0"/>
        <item x="1"/>
        <item t="default"/>
      </items>
    </pivotField>
    <pivotField showAll="0"/>
    <pivotField showAll="0"/>
    <pivotField showAll="0"/>
    <pivotField showAll="0"/>
    <pivotField numFmtId="164" showAll="0"/>
    <pivotField numFmtId="164" showAll="0"/>
    <pivotField dataField="1" numFmtId="164" showAll="0"/>
    <pivotField numFmtId="10" showAll="0"/>
    <pivotField showAll="0">
      <items count="4">
        <item h="1" x="1"/>
        <item x="0"/>
        <item h="1" x="2"/>
        <item t="default"/>
      </items>
    </pivotField>
    <pivotField dragToRow="0" dragToCol="0" dragToPage="0" showAll="0" defaultSubtotal="0"/>
  </pivotFields>
  <rowFields count="1">
    <field x="1"/>
  </rowFields>
  <rowItems count="11">
    <i>
      <x v="2"/>
    </i>
    <i>
      <x v="5"/>
    </i>
    <i>
      <x v="15"/>
    </i>
    <i>
      <x v="18"/>
    </i>
    <i>
      <x v="27"/>
    </i>
    <i>
      <x v="31"/>
    </i>
    <i>
      <x v="32"/>
    </i>
    <i>
      <x v="33"/>
    </i>
    <i>
      <x v="37"/>
    </i>
    <i>
      <x v="41"/>
    </i>
    <i t="grand">
      <x/>
    </i>
  </rowItems>
  <colItems count="1">
    <i/>
  </colItems>
  <dataFields count="1">
    <dataField name="Sales Per Product" fld="9" baseField="1" baseItem="0" numFmtId="164"/>
  </dataFields>
  <chartFormats count="4">
    <chartFormat chart="0" format="1" series="1">
      <pivotArea type="data" outline="0" fieldPosition="0">
        <references count="1">
          <reference field="4294967294" count="1" selected="0">
            <x v="0"/>
          </reference>
        </references>
      </pivotArea>
    </chartFormat>
    <chartFormat chart="16" format="3" series="1">
      <pivotArea type="data" outline="0" fieldPosition="0">
        <references count="1">
          <reference field="4294967294" count="1" selected="0">
            <x v="0"/>
          </reference>
        </references>
      </pivotArea>
    </chartFormat>
    <chartFormat chart="18" format="3" series="1">
      <pivotArea type="data" outline="0" fieldPosition="0">
        <references count="1">
          <reference field="4294967294" count="1" selected="0">
            <x v="0"/>
          </reference>
        </references>
      </pivotArea>
    </chartFormat>
    <chartFormat chart="2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2A69EAA-D440-41A8-9D17-8B7DCAA0E25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2:B15" firstHeaderRow="1" firstDataRow="1" firstDataCol="1"/>
  <pivotFields count="13">
    <pivotField showAll="0"/>
    <pivotField axis="axisRow" showAll="0" sortType="ascending">
      <items count="47">
        <item x="34"/>
        <item x="15"/>
        <item x="24"/>
        <item x="33"/>
        <item x="2"/>
        <item x="21"/>
        <item x="20"/>
        <item x="44"/>
        <item x="4"/>
        <item x="40"/>
        <item x="22"/>
        <item x="23"/>
        <item x="0"/>
        <item x="5"/>
        <item x="11"/>
        <item x="30"/>
        <item x="25"/>
        <item x="18"/>
        <item x="9"/>
        <item x="29"/>
        <item x="17"/>
        <item x="42"/>
        <item x="39"/>
        <item x="26"/>
        <item x="19"/>
        <item x="12"/>
        <item x="10"/>
        <item x="1"/>
        <item x="45"/>
        <item x="14"/>
        <item x="8"/>
        <item x="13"/>
        <item x="28"/>
        <item x="27"/>
        <item x="32"/>
        <item x="43"/>
        <item x="35"/>
        <item x="16"/>
        <item x="38"/>
        <item x="3"/>
        <item x="6"/>
        <item x="31"/>
        <item x="36"/>
        <item x="7"/>
        <item x="37"/>
        <item x="41"/>
        <item t="default"/>
      </items>
      <autoSortScope>
        <pivotArea dataOnly="0" outline="0" fieldPosition="0">
          <references count="1">
            <reference field="4294967294" count="1" selected="0">
              <x v="0"/>
            </reference>
          </references>
        </pivotArea>
      </autoSortScope>
    </pivotField>
    <pivotField showAll="0">
      <items count="5">
        <item x="2"/>
        <item x="3"/>
        <item x="0"/>
        <item x="1"/>
        <item t="default"/>
      </items>
    </pivotField>
    <pivotField showAll="0"/>
    <pivotField showAll="0"/>
    <pivotField showAll="0"/>
    <pivotField showAll="0"/>
    <pivotField numFmtId="164" showAll="0"/>
    <pivotField numFmtId="164" showAll="0"/>
    <pivotField numFmtId="164" showAll="0"/>
    <pivotField dataField="1" numFmtId="10" showAll="0"/>
    <pivotField showAll="0">
      <items count="4">
        <item h="1" x="1"/>
        <item x="0"/>
        <item h="1" x="2"/>
        <item t="default"/>
      </items>
    </pivotField>
    <pivotField dragToRow="0" dragToCol="0" dragToPage="0" showAll="0" defaultSubtotal="0"/>
  </pivotFields>
  <rowFields count="1">
    <field x="1"/>
  </rowFields>
  <rowItems count="13">
    <i>
      <x v="14"/>
    </i>
    <i>
      <x v="18"/>
    </i>
    <i>
      <x v="26"/>
    </i>
    <i>
      <x v="30"/>
    </i>
    <i>
      <x v="43"/>
    </i>
    <i>
      <x v="40"/>
    </i>
    <i>
      <x v="13"/>
    </i>
    <i>
      <x v="8"/>
    </i>
    <i>
      <x v="39"/>
    </i>
    <i>
      <x v="4"/>
    </i>
    <i>
      <x v="27"/>
    </i>
    <i>
      <x v="12"/>
    </i>
    <i t="grand">
      <x/>
    </i>
  </rowItems>
  <colItems count="1">
    <i/>
  </colItems>
  <dataFields count="1">
    <dataField name="Sales Rate " fld="10" baseField="1" baseItem="0" numFmtId="10"/>
  </dataFields>
  <chartFormats count="4">
    <chartFormat chart="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4C7A41A-4B99-41A1-A0CB-FDE025E789B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2:B10" firstHeaderRow="1" firstDataRow="1" firstDataCol="1"/>
  <pivotFields count="13">
    <pivotField showAll="0"/>
    <pivotField axis="axisRow" showAll="0" measureFilter="1" sortType="ascending">
      <items count="47">
        <item x="41"/>
        <item x="37"/>
        <item x="7"/>
        <item x="36"/>
        <item x="31"/>
        <item x="6"/>
        <item x="3"/>
        <item x="38"/>
        <item x="16"/>
        <item x="35"/>
        <item x="43"/>
        <item x="32"/>
        <item x="27"/>
        <item x="28"/>
        <item x="13"/>
        <item x="8"/>
        <item x="14"/>
        <item x="45"/>
        <item x="1"/>
        <item x="10"/>
        <item x="12"/>
        <item x="19"/>
        <item x="26"/>
        <item x="39"/>
        <item x="42"/>
        <item x="17"/>
        <item x="29"/>
        <item x="9"/>
        <item x="18"/>
        <item x="25"/>
        <item x="30"/>
        <item x="11"/>
        <item x="5"/>
        <item x="0"/>
        <item x="23"/>
        <item x="22"/>
        <item x="40"/>
        <item x="4"/>
        <item x="44"/>
        <item x="20"/>
        <item x="21"/>
        <item x="2"/>
        <item x="33"/>
        <item x="24"/>
        <item x="15"/>
        <item x="34"/>
        <item t="default"/>
      </items>
      <autoSortScope>
        <pivotArea dataOnly="0" outline="0" fieldPosition="0">
          <references count="1">
            <reference field="4294967294" count="1" selected="0">
              <x v="0"/>
            </reference>
          </references>
        </pivotArea>
      </autoSortScope>
    </pivotField>
    <pivotField showAll="0">
      <items count="5">
        <item x="2"/>
        <item x="3"/>
        <item x="0"/>
        <item x="1"/>
        <item t="default"/>
      </items>
    </pivotField>
    <pivotField showAll="0"/>
    <pivotField showAll="0"/>
    <pivotField showAll="0"/>
    <pivotField showAll="0"/>
    <pivotField numFmtId="164" showAll="0"/>
    <pivotField numFmtId="164" showAll="0"/>
    <pivotField numFmtId="164" showAll="0"/>
    <pivotField dataField="1" numFmtId="10" showAll="0"/>
    <pivotField showAll="0">
      <items count="4">
        <item x="1"/>
        <item x="0"/>
        <item x="2"/>
        <item t="default"/>
      </items>
    </pivotField>
    <pivotField dragToRow="0" dragToCol="0" dragToPage="0" showAll="0" defaultSubtotal="0"/>
  </pivotFields>
  <rowFields count="1">
    <field x="1"/>
  </rowFields>
  <rowItems count="8">
    <i>
      <x v="17"/>
    </i>
    <i>
      <x v="38"/>
    </i>
    <i>
      <x v="10"/>
    </i>
    <i>
      <x v="24"/>
    </i>
    <i>
      <x v="23"/>
    </i>
    <i>
      <x v="36"/>
    </i>
    <i>
      <x/>
    </i>
    <i t="grand">
      <x/>
    </i>
  </rowItems>
  <colItems count="1">
    <i/>
  </colItems>
  <dataFields count="1">
    <dataField name="Sales Rate " fld="10" baseField="1" baseItem="17" numFmtId="10"/>
  </dataFields>
  <chartFormats count="3">
    <chartFormat chart="0"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percent" evalOrder="-1" id="3" iMeasureFld="0">
      <autoFilter ref="A1">
        <filterColumn colId="0">
          <top10 top="0" percent="1"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CF2C716-F3EB-4C2C-BB41-6B9E6BF6146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6" firstHeaderRow="1" firstDataRow="1" firstDataCol="1"/>
  <pivotFields count="13">
    <pivotField showAll="0"/>
    <pivotField axis="axisRow" showAll="0" sortType="ascending">
      <items count="47">
        <item x="41"/>
        <item x="37"/>
        <item x="7"/>
        <item x="36"/>
        <item x="31"/>
        <item x="6"/>
        <item x="3"/>
        <item x="38"/>
        <item x="16"/>
        <item x="35"/>
        <item x="43"/>
        <item x="32"/>
        <item x="27"/>
        <item x="28"/>
        <item x="13"/>
        <item x="8"/>
        <item x="14"/>
        <item x="45"/>
        <item x="1"/>
        <item x="10"/>
        <item x="12"/>
        <item x="19"/>
        <item x="26"/>
        <item x="39"/>
        <item x="42"/>
        <item x="17"/>
        <item x="29"/>
        <item x="9"/>
        <item x="18"/>
        <item x="25"/>
        <item x="30"/>
        <item x="11"/>
        <item x="5"/>
        <item x="0"/>
        <item x="23"/>
        <item x="22"/>
        <item x="40"/>
        <item x="4"/>
        <item x="44"/>
        <item x="20"/>
        <item x="21"/>
        <item x="2"/>
        <item x="33"/>
        <item x="24"/>
        <item x="15"/>
        <item x="34"/>
        <item t="default"/>
      </items>
      <autoSortScope>
        <pivotArea dataOnly="0" outline="0" fieldPosition="0">
          <references count="1">
            <reference field="4294967294" count="1" selected="0">
              <x v="0"/>
            </reference>
          </references>
        </pivotArea>
      </autoSortScope>
    </pivotField>
    <pivotField showAll="0">
      <items count="5">
        <item x="2"/>
        <item x="3"/>
        <item x="0"/>
        <item x="1"/>
        <item t="default"/>
      </items>
    </pivotField>
    <pivotField showAll="0"/>
    <pivotField showAll="0"/>
    <pivotField showAll="0"/>
    <pivotField showAll="0"/>
    <pivotField numFmtId="164" showAll="0"/>
    <pivotField numFmtId="164" showAll="0"/>
    <pivotField numFmtId="164" showAll="0"/>
    <pivotField numFmtId="10" showAll="0"/>
    <pivotField showAll="0">
      <items count="4">
        <item h="1" x="1"/>
        <item x="0"/>
        <item h="1" x="2"/>
        <item t="default"/>
      </items>
    </pivotField>
    <pivotField dataField="1" dragToRow="0" dragToCol="0" dragToPage="0" showAll="0" defaultSubtotal="0"/>
  </pivotFields>
  <rowFields count="1">
    <field x="1"/>
  </rowFields>
  <rowItems count="13">
    <i>
      <x v="33"/>
    </i>
    <i>
      <x v="15"/>
    </i>
    <i>
      <x v="2"/>
    </i>
    <i>
      <x v="32"/>
    </i>
    <i>
      <x v="31"/>
    </i>
    <i>
      <x v="27"/>
    </i>
    <i>
      <x v="18"/>
    </i>
    <i>
      <x v="41"/>
    </i>
    <i>
      <x v="37"/>
    </i>
    <i>
      <x v="5"/>
    </i>
    <i>
      <x v="6"/>
    </i>
    <i>
      <x v="19"/>
    </i>
    <i t="grand">
      <x/>
    </i>
  </rowItems>
  <colItems count="1">
    <i/>
  </colItems>
  <dataFields count="1">
    <dataField name="Gross Profit " fld="12" baseField="1" baseItem="22"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B624F8E-7345-4EE2-A2D8-37D4858DC639}" sourceName="Category">
  <pivotTables>
    <pivotTable tabId="4" name="PivotTable2"/>
    <pivotTable tabId="9" name="PivotTable5"/>
    <pivotTable tabId="10" name="PivotTable6"/>
    <pivotTable tabId="5" name="PivotTable3"/>
    <pivotTable tabId="7" name="PivotTable4"/>
  </pivotTables>
  <data>
    <tabular pivotCacheId="997469835">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AAA97187-D5F9-4CB6-897A-94C20C1ED3E3}" sourceName="Status">
  <pivotTables>
    <pivotTable tabId="4" name="PivotTable2"/>
    <pivotTable tabId="10" name="PivotTable6"/>
    <pivotTable tabId="5" name="PivotTable3"/>
    <pivotTable tabId="7" name="PivotTable4"/>
  </pivotTables>
  <data>
    <tabular pivotCacheId="997469835">
      <items count="3">
        <i x="1"/>
        <i x="0" s="1"/>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DC83018F-48CE-4F84-A1BA-4DAD43521C2F}" sourceName="Product Name">
  <pivotTables>
    <pivotTable tabId="4" name="PivotTable2"/>
  </pivotTables>
  <data>
    <tabular pivotCacheId="997469835">
      <items count="46">
        <i x="7" s="1"/>
        <i x="6" s="1"/>
        <i x="3" s="1"/>
        <i x="8" s="1"/>
        <i x="1" s="1"/>
        <i x="10" s="1"/>
        <i x="9" s="1"/>
        <i x="11" s="1"/>
        <i x="5" s="1"/>
        <i x="0" s="1"/>
        <i x="4" s="1"/>
        <i x="2" s="1"/>
        <i x="41" s="1" nd="1"/>
        <i x="37" s="1" nd="1"/>
        <i x="36" s="1" nd="1"/>
        <i x="31" s="1" nd="1"/>
        <i x="38" s="1" nd="1"/>
        <i x="16" s="1" nd="1"/>
        <i x="35" s="1" nd="1"/>
        <i x="43" s="1" nd="1"/>
        <i x="32" s="1" nd="1"/>
        <i x="27" s="1" nd="1"/>
        <i x="28" s="1" nd="1"/>
        <i x="13" s="1" nd="1"/>
        <i x="14" s="1" nd="1"/>
        <i x="45" s="1" nd="1"/>
        <i x="12" s="1" nd="1"/>
        <i x="19" s="1" nd="1"/>
        <i x="26" s="1" nd="1"/>
        <i x="39" s="1" nd="1"/>
        <i x="42" s="1" nd="1"/>
        <i x="17" s="1" nd="1"/>
        <i x="29" s="1" nd="1"/>
        <i x="18" s="1" nd="1"/>
        <i x="25" s="1" nd="1"/>
        <i x="30" s="1" nd="1"/>
        <i x="23" s="1" nd="1"/>
        <i x="22" s="1" nd="1"/>
        <i x="40" s="1" nd="1"/>
        <i x="44" s="1" nd="1"/>
        <i x="20" s="1" nd="1"/>
        <i x="21" s="1" nd="1"/>
        <i x="33" s="1" nd="1"/>
        <i x="24" s="1" nd="1"/>
        <i x="15" s="1" nd="1"/>
        <i x="3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26CE676A-27D6-48B9-82FE-771EE718B7F9}" cache="Slicer_Category" caption="Category" rowHeight="257175"/>
  <slicer name="Status" xr10:uid="{CDC28559-BCEB-4B69-AD06-029EDCA6ED49}" cache="Slicer_Status" caption="Status" rowHeight="257175"/>
  <slicer name="Product Name" xr10:uid="{31E297C7-D7A1-427A-8D59-A367825CAA9C}" cache="Slicer_Product_Name" caption="Product Name" columnCount="3"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4887A2-5E74-4E54-9CA6-3EA8F53C3D03}">
  <dimension ref="B2:I52"/>
  <sheetViews>
    <sheetView showGridLines="0" workbookViewId="0">
      <selection activeCell="M17" sqref="M17"/>
    </sheetView>
  </sheetViews>
  <sheetFormatPr defaultColWidth="8.85546875" defaultRowHeight="15" x14ac:dyDescent="0.25"/>
  <cols>
    <col min="1" max="1" width="3.5703125" style="1" customWidth="1"/>
    <col min="2" max="2" width="12.5703125" style="1" customWidth="1"/>
    <col min="3" max="3" width="20.85546875" style="1" customWidth="1"/>
    <col min="4" max="4" width="10.85546875" style="1" customWidth="1"/>
    <col min="5" max="5" width="12" style="1" customWidth="1"/>
    <col min="6" max="6" width="12.7109375" style="1" customWidth="1"/>
    <col min="7" max="7" width="10.5703125" style="1" customWidth="1"/>
    <col min="8" max="8" width="15.140625" style="1" customWidth="1"/>
    <col min="9" max="9" width="13.7109375" style="1" customWidth="1"/>
    <col min="10" max="16384" width="8.85546875" style="1"/>
  </cols>
  <sheetData>
    <row r="2" spans="2:9" ht="19.5" thickBot="1" x14ac:dyDescent="0.3">
      <c r="B2" s="2" t="s">
        <v>0</v>
      </c>
      <c r="C2" s="2"/>
      <c r="D2" s="2"/>
      <c r="E2" s="2"/>
      <c r="F2" s="2"/>
      <c r="G2" s="2"/>
      <c r="H2" s="2"/>
      <c r="I2" s="2"/>
    </row>
    <row r="4" spans="2:9" ht="19.5" thickBot="1" x14ac:dyDescent="0.3">
      <c r="B4" s="3" t="s">
        <v>1</v>
      </c>
      <c r="C4" s="2"/>
      <c r="D4" s="2"/>
      <c r="E4" s="2"/>
      <c r="F4" s="2"/>
      <c r="G4" s="2"/>
      <c r="H4" s="2"/>
      <c r="I4" s="2"/>
    </row>
    <row r="6" spans="2:9" ht="31.5" x14ac:dyDescent="0.25">
      <c r="B6" s="4" t="s">
        <v>2</v>
      </c>
      <c r="C6" s="5" t="s">
        <v>3</v>
      </c>
      <c r="D6" s="5" t="s">
        <v>4</v>
      </c>
      <c r="E6" s="5" t="s">
        <v>5</v>
      </c>
      <c r="F6" s="5" t="s">
        <v>6</v>
      </c>
      <c r="G6" s="5" t="s">
        <v>7</v>
      </c>
      <c r="H6" s="5" t="s">
        <v>8</v>
      </c>
      <c r="I6" s="5" t="s">
        <v>9</v>
      </c>
    </row>
    <row r="7" spans="2:9" x14ac:dyDescent="0.25">
      <c r="B7" s="6" t="s">
        <v>10</v>
      </c>
      <c r="C7" s="6" t="s">
        <v>11</v>
      </c>
      <c r="D7" s="6">
        <v>50</v>
      </c>
      <c r="E7" s="6">
        <v>20</v>
      </c>
      <c r="F7" s="6">
        <v>10</v>
      </c>
      <c r="G7" s="6">
        <v>60</v>
      </c>
      <c r="H7" s="6">
        <v>1200</v>
      </c>
      <c r="I7" s="6">
        <v>72000</v>
      </c>
    </row>
    <row r="8" spans="2:9" x14ac:dyDescent="0.25">
      <c r="B8" s="6" t="s">
        <v>12</v>
      </c>
      <c r="C8" s="6" t="s">
        <v>13</v>
      </c>
      <c r="D8" s="6">
        <v>40</v>
      </c>
      <c r="E8" s="6">
        <v>15</v>
      </c>
      <c r="F8" s="6">
        <v>5</v>
      </c>
      <c r="G8" s="6">
        <v>50</v>
      </c>
      <c r="H8" s="6">
        <v>500</v>
      </c>
      <c r="I8" s="6">
        <v>25000</v>
      </c>
    </row>
    <row r="9" spans="2:9" x14ac:dyDescent="0.25">
      <c r="B9" s="6" t="s">
        <v>14</v>
      </c>
      <c r="C9" s="6" t="s">
        <v>15</v>
      </c>
      <c r="D9" s="6">
        <v>60</v>
      </c>
      <c r="E9" s="6">
        <v>25</v>
      </c>
      <c r="F9" s="6">
        <v>15</v>
      </c>
      <c r="G9" s="6">
        <v>70</v>
      </c>
      <c r="H9" s="6">
        <v>50</v>
      </c>
      <c r="I9" s="6">
        <v>3500</v>
      </c>
    </row>
    <row r="10" spans="2:9" x14ac:dyDescent="0.25">
      <c r="B10" s="6" t="s">
        <v>16</v>
      </c>
      <c r="C10" s="6" t="s">
        <v>17</v>
      </c>
      <c r="D10" s="6">
        <v>30</v>
      </c>
      <c r="E10" s="6">
        <v>10</v>
      </c>
      <c r="F10" s="6">
        <v>3</v>
      </c>
      <c r="G10" s="6">
        <v>37</v>
      </c>
      <c r="H10" s="6">
        <v>100</v>
      </c>
      <c r="I10" s="6">
        <v>3700</v>
      </c>
    </row>
    <row r="11" spans="2:9" x14ac:dyDescent="0.25">
      <c r="B11" s="6" t="s">
        <v>18</v>
      </c>
      <c r="C11" s="6" t="s">
        <v>19</v>
      </c>
      <c r="D11" s="6">
        <v>70</v>
      </c>
      <c r="E11" s="6">
        <v>30</v>
      </c>
      <c r="F11" s="6">
        <v>20</v>
      </c>
      <c r="G11" s="6">
        <v>80</v>
      </c>
      <c r="H11" s="6">
        <v>900</v>
      </c>
      <c r="I11" s="6">
        <v>72000</v>
      </c>
    </row>
    <row r="12" spans="2:9" x14ac:dyDescent="0.25">
      <c r="B12" s="6" t="s">
        <v>20</v>
      </c>
      <c r="C12" s="6" t="s">
        <v>21</v>
      </c>
      <c r="D12" s="6">
        <v>45</v>
      </c>
      <c r="E12" s="6">
        <v>18</v>
      </c>
      <c r="F12" s="6">
        <v>8</v>
      </c>
      <c r="G12" s="6">
        <v>55</v>
      </c>
      <c r="H12" s="6">
        <v>700</v>
      </c>
      <c r="I12" s="6">
        <v>38500</v>
      </c>
    </row>
    <row r="13" spans="2:9" x14ac:dyDescent="0.25">
      <c r="B13" s="6" t="s">
        <v>22</v>
      </c>
      <c r="C13" s="6" t="s">
        <v>23</v>
      </c>
      <c r="D13" s="6">
        <v>55</v>
      </c>
      <c r="E13" s="6">
        <v>22</v>
      </c>
      <c r="F13" s="6">
        <v>12</v>
      </c>
      <c r="G13" s="6">
        <v>65</v>
      </c>
      <c r="H13" s="6">
        <v>150</v>
      </c>
      <c r="I13" s="6">
        <v>9750</v>
      </c>
    </row>
    <row r="14" spans="2:9" x14ac:dyDescent="0.25">
      <c r="B14" s="6" t="s">
        <v>24</v>
      </c>
      <c r="C14" s="6" t="s">
        <v>25</v>
      </c>
      <c r="D14" s="6">
        <v>25</v>
      </c>
      <c r="E14" s="6">
        <v>12</v>
      </c>
      <c r="F14" s="6">
        <v>5</v>
      </c>
      <c r="G14" s="6">
        <v>32</v>
      </c>
      <c r="H14" s="6">
        <v>200</v>
      </c>
      <c r="I14" s="6">
        <v>6400</v>
      </c>
    </row>
    <row r="15" spans="2:9" x14ac:dyDescent="0.25">
      <c r="B15" s="6" t="s">
        <v>26</v>
      </c>
      <c r="C15" s="6" t="s">
        <v>27</v>
      </c>
      <c r="D15" s="6">
        <v>35</v>
      </c>
      <c r="E15" s="6">
        <v>15</v>
      </c>
      <c r="F15" s="6">
        <v>7</v>
      </c>
      <c r="G15" s="6">
        <v>43</v>
      </c>
      <c r="H15" s="6">
        <v>80</v>
      </c>
      <c r="I15" s="6">
        <v>3440</v>
      </c>
    </row>
    <row r="16" spans="2:9" x14ac:dyDescent="0.25">
      <c r="B16" s="6" t="s">
        <v>28</v>
      </c>
      <c r="C16" s="6" t="s">
        <v>29</v>
      </c>
      <c r="D16" s="6">
        <v>40</v>
      </c>
      <c r="E16" s="6">
        <v>20</v>
      </c>
      <c r="F16" s="6">
        <v>10</v>
      </c>
      <c r="G16" s="6">
        <v>50</v>
      </c>
      <c r="H16" s="6">
        <v>60</v>
      </c>
      <c r="I16" s="6">
        <v>3000</v>
      </c>
    </row>
    <row r="17" spans="2:9" x14ac:dyDescent="0.25">
      <c r="B17" s="6" t="s">
        <v>30</v>
      </c>
      <c r="C17" s="6" t="s">
        <v>31</v>
      </c>
      <c r="D17" s="6">
        <v>20</v>
      </c>
      <c r="E17" s="6">
        <v>8</v>
      </c>
      <c r="F17" s="6">
        <v>3</v>
      </c>
      <c r="G17" s="6">
        <v>25</v>
      </c>
      <c r="H17" s="6">
        <v>150</v>
      </c>
      <c r="I17" s="6">
        <v>3750</v>
      </c>
    </row>
    <row r="18" spans="2:9" x14ac:dyDescent="0.25">
      <c r="B18" s="6" t="s">
        <v>32</v>
      </c>
      <c r="C18" s="6" t="s">
        <v>33</v>
      </c>
      <c r="D18" s="6">
        <v>30</v>
      </c>
      <c r="E18" s="6">
        <v>15</v>
      </c>
      <c r="F18" s="6">
        <v>7</v>
      </c>
      <c r="G18" s="6">
        <v>38</v>
      </c>
      <c r="H18" s="6">
        <v>30</v>
      </c>
      <c r="I18" s="6">
        <v>1140</v>
      </c>
    </row>
    <row r="19" spans="2:9" x14ac:dyDescent="0.25">
      <c r="B19" s="6" t="s">
        <v>34</v>
      </c>
      <c r="C19" s="6" t="s">
        <v>35</v>
      </c>
      <c r="D19" s="6">
        <v>50</v>
      </c>
      <c r="E19" s="6">
        <v>25</v>
      </c>
      <c r="F19" s="6">
        <v>12</v>
      </c>
      <c r="G19" s="6">
        <v>63</v>
      </c>
      <c r="H19" s="6">
        <v>20</v>
      </c>
      <c r="I19" s="6">
        <v>1260</v>
      </c>
    </row>
    <row r="20" spans="2:9" x14ac:dyDescent="0.25">
      <c r="B20" s="6" t="s">
        <v>36</v>
      </c>
      <c r="C20" s="6" t="s">
        <v>37</v>
      </c>
      <c r="D20" s="6">
        <v>60</v>
      </c>
      <c r="E20" s="6">
        <v>30</v>
      </c>
      <c r="F20" s="6">
        <v>15</v>
      </c>
      <c r="G20" s="6">
        <v>75</v>
      </c>
      <c r="H20" s="6">
        <v>10</v>
      </c>
      <c r="I20" s="6">
        <v>750</v>
      </c>
    </row>
    <row r="21" spans="2:9" x14ac:dyDescent="0.25">
      <c r="B21" s="6" t="s">
        <v>38</v>
      </c>
      <c r="C21" s="6" t="s">
        <v>39</v>
      </c>
      <c r="D21" s="6">
        <v>40</v>
      </c>
      <c r="E21" s="6">
        <v>20</v>
      </c>
      <c r="F21" s="6">
        <v>8</v>
      </c>
      <c r="G21" s="6">
        <v>52</v>
      </c>
      <c r="H21" s="6">
        <v>25</v>
      </c>
      <c r="I21" s="6">
        <v>1300</v>
      </c>
    </row>
    <row r="22" spans="2:9" x14ac:dyDescent="0.25">
      <c r="B22" s="6" t="s">
        <v>40</v>
      </c>
      <c r="C22" s="6" t="s">
        <v>41</v>
      </c>
      <c r="D22" s="6">
        <v>35</v>
      </c>
      <c r="E22" s="6">
        <v>15</v>
      </c>
      <c r="F22" s="6">
        <v>5</v>
      </c>
      <c r="G22" s="6">
        <v>45</v>
      </c>
      <c r="H22" s="6">
        <v>40</v>
      </c>
      <c r="I22" s="6">
        <v>1800</v>
      </c>
    </row>
    <row r="23" spans="2:9" x14ac:dyDescent="0.25">
      <c r="B23" s="6" t="s">
        <v>42</v>
      </c>
      <c r="C23" s="6" t="s">
        <v>43</v>
      </c>
      <c r="D23" s="6">
        <v>25</v>
      </c>
      <c r="E23" s="6">
        <v>10</v>
      </c>
      <c r="F23" s="6">
        <v>4</v>
      </c>
      <c r="G23" s="6">
        <v>31</v>
      </c>
      <c r="H23" s="6">
        <v>100</v>
      </c>
      <c r="I23" s="6">
        <v>3100</v>
      </c>
    </row>
    <row r="24" spans="2:9" x14ac:dyDescent="0.25">
      <c r="B24" s="6" t="s">
        <v>44</v>
      </c>
      <c r="C24" s="6" t="s">
        <v>45</v>
      </c>
      <c r="D24" s="6">
        <v>30</v>
      </c>
      <c r="E24" s="6">
        <v>12</v>
      </c>
      <c r="F24" s="6">
        <v>6</v>
      </c>
      <c r="G24" s="6">
        <v>36</v>
      </c>
      <c r="H24" s="6">
        <v>80</v>
      </c>
      <c r="I24" s="6">
        <v>2880</v>
      </c>
    </row>
    <row r="25" spans="2:9" x14ac:dyDescent="0.25">
      <c r="B25" s="6" t="s">
        <v>46</v>
      </c>
      <c r="C25" s="6" t="s">
        <v>47</v>
      </c>
      <c r="D25" s="6">
        <v>20</v>
      </c>
      <c r="E25" s="6">
        <v>8</v>
      </c>
      <c r="F25" s="6">
        <v>3</v>
      </c>
      <c r="G25" s="6">
        <v>25</v>
      </c>
      <c r="H25" s="6">
        <v>120</v>
      </c>
      <c r="I25" s="6">
        <v>3000</v>
      </c>
    </row>
    <row r="26" spans="2:9" x14ac:dyDescent="0.25">
      <c r="B26" s="6" t="s">
        <v>48</v>
      </c>
      <c r="C26" s="6" t="s">
        <v>49</v>
      </c>
      <c r="D26" s="6">
        <v>15</v>
      </c>
      <c r="E26" s="6">
        <v>6</v>
      </c>
      <c r="F26" s="6">
        <v>2</v>
      </c>
      <c r="G26" s="6">
        <v>19</v>
      </c>
      <c r="H26" s="6">
        <v>200</v>
      </c>
      <c r="I26" s="6">
        <v>3800</v>
      </c>
    </row>
    <row r="27" spans="2:9" x14ac:dyDescent="0.25">
      <c r="B27" s="6" t="s">
        <v>50</v>
      </c>
      <c r="C27" s="6" t="s">
        <v>51</v>
      </c>
      <c r="D27" s="6">
        <v>25</v>
      </c>
      <c r="E27" s="6">
        <v>10</v>
      </c>
      <c r="F27" s="6">
        <v>4</v>
      </c>
      <c r="G27" s="6">
        <v>29</v>
      </c>
      <c r="H27" s="6">
        <v>400</v>
      </c>
      <c r="I27" s="6">
        <v>11600</v>
      </c>
    </row>
    <row r="28" spans="2:9" x14ac:dyDescent="0.25">
      <c r="B28" s="6" t="s">
        <v>52</v>
      </c>
      <c r="C28" s="6" t="s">
        <v>53</v>
      </c>
      <c r="D28" s="6">
        <v>40</v>
      </c>
      <c r="E28" s="6">
        <v>18</v>
      </c>
      <c r="F28" s="6">
        <v>9</v>
      </c>
      <c r="G28" s="6">
        <v>49</v>
      </c>
      <c r="H28" s="6">
        <v>600</v>
      </c>
      <c r="I28" s="6">
        <v>29400</v>
      </c>
    </row>
    <row r="29" spans="2:9" x14ac:dyDescent="0.25">
      <c r="B29" s="6" t="s">
        <v>54</v>
      </c>
      <c r="C29" s="6" t="s">
        <v>55</v>
      </c>
      <c r="D29" s="6">
        <v>30</v>
      </c>
      <c r="E29" s="6">
        <v>15</v>
      </c>
      <c r="F29" s="6">
        <v>7</v>
      </c>
      <c r="G29" s="6">
        <v>38</v>
      </c>
      <c r="H29" s="6">
        <v>350</v>
      </c>
      <c r="I29" s="6">
        <v>13300</v>
      </c>
    </row>
    <row r="30" spans="2:9" x14ac:dyDescent="0.25">
      <c r="B30" s="6" t="s">
        <v>56</v>
      </c>
      <c r="C30" s="6" t="s">
        <v>57</v>
      </c>
      <c r="D30" s="6">
        <v>25</v>
      </c>
      <c r="E30" s="6">
        <v>12</v>
      </c>
      <c r="F30" s="6">
        <v>5</v>
      </c>
      <c r="G30" s="6">
        <v>32</v>
      </c>
      <c r="H30" s="6">
        <v>200</v>
      </c>
      <c r="I30" s="6">
        <v>6400</v>
      </c>
    </row>
    <row r="31" spans="2:9" x14ac:dyDescent="0.25">
      <c r="B31" s="6" t="s">
        <v>58</v>
      </c>
      <c r="C31" s="6" t="s">
        <v>59</v>
      </c>
      <c r="D31" s="6">
        <v>50</v>
      </c>
      <c r="E31" s="6">
        <v>22</v>
      </c>
      <c r="F31" s="6">
        <v>11</v>
      </c>
      <c r="G31" s="6">
        <v>61</v>
      </c>
      <c r="H31" s="6">
        <v>80</v>
      </c>
      <c r="I31" s="6">
        <v>4880</v>
      </c>
    </row>
    <row r="32" spans="2:9" x14ac:dyDescent="0.25">
      <c r="B32" s="6" t="s">
        <v>60</v>
      </c>
      <c r="C32" s="6" t="s">
        <v>61</v>
      </c>
      <c r="D32" s="6">
        <v>45</v>
      </c>
      <c r="E32" s="6">
        <v>20</v>
      </c>
      <c r="F32" s="6">
        <v>8</v>
      </c>
      <c r="G32" s="6">
        <v>57</v>
      </c>
      <c r="H32" s="6">
        <v>120</v>
      </c>
      <c r="I32" s="6">
        <v>6840</v>
      </c>
    </row>
    <row r="33" spans="2:9" x14ac:dyDescent="0.25">
      <c r="B33" s="6" t="s">
        <v>62</v>
      </c>
      <c r="C33" s="6" t="s">
        <v>63</v>
      </c>
      <c r="D33" s="6">
        <v>60</v>
      </c>
      <c r="E33" s="6">
        <v>25</v>
      </c>
      <c r="F33" s="6">
        <v>12</v>
      </c>
      <c r="G33" s="6">
        <v>73</v>
      </c>
      <c r="H33" s="6">
        <v>60</v>
      </c>
      <c r="I33" s="6">
        <v>4380</v>
      </c>
    </row>
    <row r="34" spans="2:9" x14ac:dyDescent="0.25">
      <c r="B34" s="6" t="s">
        <v>64</v>
      </c>
      <c r="C34" s="6" t="s">
        <v>65</v>
      </c>
      <c r="D34" s="6">
        <v>35</v>
      </c>
      <c r="E34" s="6">
        <v>15</v>
      </c>
      <c r="F34" s="6">
        <v>6</v>
      </c>
      <c r="G34" s="6">
        <v>44</v>
      </c>
      <c r="H34" s="6">
        <v>100</v>
      </c>
      <c r="I34" s="6">
        <v>4400</v>
      </c>
    </row>
    <row r="35" spans="2:9" x14ac:dyDescent="0.25">
      <c r="B35" s="6" t="s">
        <v>66</v>
      </c>
      <c r="C35" s="6" t="s">
        <v>67</v>
      </c>
      <c r="D35" s="6">
        <v>40</v>
      </c>
      <c r="E35" s="6">
        <v>18</v>
      </c>
      <c r="F35" s="6">
        <v>9</v>
      </c>
      <c r="G35" s="6">
        <v>49</v>
      </c>
      <c r="H35" s="6">
        <v>80</v>
      </c>
      <c r="I35" s="6">
        <v>3920</v>
      </c>
    </row>
    <row r="36" spans="2:9" x14ac:dyDescent="0.25">
      <c r="B36" s="6" t="s">
        <v>68</v>
      </c>
      <c r="C36" s="6" t="s">
        <v>69</v>
      </c>
      <c r="D36" s="6">
        <v>30</v>
      </c>
      <c r="E36" s="6">
        <v>12</v>
      </c>
      <c r="F36" s="6">
        <v>4</v>
      </c>
      <c r="G36" s="6">
        <v>34</v>
      </c>
      <c r="H36" s="6">
        <v>50</v>
      </c>
      <c r="I36" s="6">
        <v>1700</v>
      </c>
    </row>
    <row r="37" spans="2:9" x14ac:dyDescent="0.25">
      <c r="B37" s="6" t="s">
        <v>70</v>
      </c>
      <c r="C37" s="6" t="s">
        <v>71</v>
      </c>
      <c r="D37" s="6">
        <v>25</v>
      </c>
      <c r="E37" s="6">
        <v>10</v>
      </c>
      <c r="F37" s="6">
        <v>3</v>
      </c>
      <c r="G37" s="6">
        <v>28</v>
      </c>
      <c r="H37" s="6">
        <v>30</v>
      </c>
      <c r="I37" s="6">
        <v>840</v>
      </c>
    </row>
    <row r="38" spans="2:9" x14ac:dyDescent="0.25">
      <c r="B38" s="6" t="s">
        <v>72</v>
      </c>
      <c r="C38" s="6" t="s">
        <v>73</v>
      </c>
      <c r="D38" s="6">
        <v>50</v>
      </c>
      <c r="E38" s="6">
        <v>20</v>
      </c>
      <c r="F38" s="6">
        <v>8</v>
      </c>
      <c r="G38" s="6">
        <v>58</v>
      </c>
      <c r="H38" s="6">
        <v>10</v>
      </c>
      <c r="I38" s="6">
        <v>580</v>
      </c>
    </row>
    <row r="39" spans="2:9" x14ac:dyDescent="0.25">
      <c r="B39" s="6" t="s">
        <v>74</v>
      </c>
      <c r="C39" s="6" t="s">
        <v>75</v>
      </c>
      <c r="D39" s="6">
        <v>40</v>
      </c>
      <c r="E39" s="6">
        <v>15</v>
      </c>
      <c r="F39" s="6">
        <v>5</v>
      </c>
      <c r="G39" s="6">
        <v>50</v>
      </c>
      <c r="H39" s="6">
        <v>5</v>
      </c>
      <c r="I39" s="6">
        <v>250</v>
      </c>
    </row>
    <row r="40" spans="2:9" x14ac:dyDescent="0.25">
      <c r="B40" s="6" t="s">
        <v>76</v>
      </c>
      <c r="C40" s="6" t="s">
        <v>77</v>
      </c>
      <c r="D40" s="6">
        <v>30</v>
      </c>
      <c r="E40" s="6">
        <v>12</v>
      </c>
      <c r="F40" s="6">
        <v>4</v>
      </c>
      <c r="G40" s="6">
        <v>34</v>
      </c>
      <c r="H40" s="6">
        <v>15</v>
      </c>
      <c r="I40" s="6">
        <v>510</v>
      </c>
    </row>
    <row r="41" spans="2:9" x14ac:dyDescent="0.25">
      <c r="B41" s="6" t="s">
        <v>78</v>
      </c>
      <c r="C41" s="6" t="s">
        <v>79</v>
      </c>
      <c r="D41" s="6">
        <v>20</v>
      </c>
      <c r="E41" s="6">
        <v>8</v>
      </c>
      <c r="F41" s="6">
        <v>3</v>
      </c>
      <c r="G41" s="6">
        <v>23</v>
      </c>
      <c r="H41" s="6">
        <v>20</v>
      </c>
      <c r="I41" s="6">
        <v>460</v>
      </c>
    </row>
    <row r="42" spans="2:9" x14ac:dyDescent="0.25">
      <c r="B42" s="6" t="s">
        <v>80</v>
      </c>
      <c r="C42" s="6" t="s">
        <v>81</v>
      </c>
      <c r="D42" s="6">
        <v>15</v>
      </c>
      <c r="E42" s="6">
        <v>6</v>
      </c>
      <c r="F42" s="6">
        <v>2</v>
      </c>
      <c r="G42" s="6">
        <v>17</v>
      </c>
      <c r="H42" s="6">
        <v>50</v>
      </c>
      <c r="I42" s="6">
        <v>850</v>
      </c>
    </row>
    <row r="43" spans="2:9" x14ac:dyDescent="0.25">
      <c r="B43" s="6" t="s">
        <v>82</v>
      </c>
      <c r="C43" s="6" t="s">
        <v>83</v>
      </c>
      <c r="D43" s="6">
        <v>25</v>
      </c>
      <c r="E43" s="6">
        <v>10</v>
      </c>
      <c r="F43" s="6">
        <v>4</v>
      </c>
      <c r="G43" s="6">
        <v>29</v>
      </c>
      <c r="H43" s="6">
        <v>5</v>
      </c>
      <c r="I43" s="6">
        <v>145</v>
      </c>
    </row>
    <row r="44" spans="2:9" x14ac:dyDescent="0.25">
      <c r="B44" s="6" t="s">
        <v>84</v>
      </c>
      <c r="C44" s="6" t="s">
        <v>85</v>
      </c>
      <c r="D44" s="6">
        <v>40</v>
      </c>
      <c r="E44" s="6">
        <v>18</v>
      </c>
      <c r="F44" s="6">
        <v>9</v>
      </c>
      <c r="G44" s="6">
        <v>49</v>
      </c>
      <c r="H44" s="6">
        <v>8</v>
      </c>
      <c r="I44" s="6">
        <v>392</v>
      </c>
    </row>
    <row r="45" spans="2:9" x14ac:dyDescent="0.25">
      <c r="B45" s="6" t="s">
        <v>86</v>
      </c>
      <c r="C45" s="6" t="s">
        <v>87</v>
      </c>
      <c r="D45" s="6">
        <v>30</v>
      </c>
      <c r="E45" s="6">
        <v>15</v>
      </c>
      <c r="F45" s="6">
        <v>6</v>
      </c>
      <c r="G45" s="6">
        <v>39</v>
      </c>
      <c r="H45" s="6">
        <v>20</v>
      </c>
      <c r="I45" s="6">
        <v>780</v>
      </c>
    </row>
    <row r="46" spans="2:9" x14ac:dyDescent="0.25">
      <c r="B46" s="6" t="s">
        <v>88</v>
      </c>
      <c r="C46" s="6" t="s">
        <v>89</v>
      </c>
      <c r="D46" s="6">
        <v>35</v>
      </c>
      <c r="E46" s="6">
        <v>12</v>
      </c>
      <c r="F46" s="6">
        <v>4</v>
      </c>
      <c r="G46" s="6">
        <v>31</v>
      </c>
      <c r="H46" s="6">
        <v>15</v>
      </c>
      <c r="I46" s="6">
        <v>465</v>
      </c>
    </row>
    <row r="47" spans="2:9" x14ac:dyDescent="0.25">
      <c r="B47" s="6" t="s">
        <v>90</v>
      </c>
      <c r="C47" s="6" t="s">
        <v>91</v>
      </c>
      <c r="D47" s="6">
        <v>25</v>
      </c>
      <c r="E47" s="6">
        <v>8</v>
      </c>
      <c r="F47" s="6">
        <v>3</v>
      </c>
      <c r="G47" s="6">
        <v>28</v>
      </c>
      <c r="H47" s="6">
        <v>10</v>
      </c>
      <c r="I47" s="6">
        <v>280</v>
      </c>
    </row>
    <row r="48" spans="2:9" x14ac:dyDescent="0.25">
      <c r="B48" s="6" t="s">
        <v>92</v>
      </c>
      <c r="C48" s="6" t="s">
        <v>93</v>
      </c>
      <c r="D48" s="6">
        <v>20</v>
      </c>
      <c r="E48" s="6">
        <v>10</v>
      </c>
      <c r="F48" s="6">
        <v>4</v>
      </c>
      <c r="G48" s="6">
        <v>24</v>
      </c>
      <c r="H48" s="6">
        <v>15</v>
      </c>
      <c r="I48" s="6">
        <v>360</v>
      </c>
    </row>
    <row r="49" spans="2:9" x14ac:dyDescent="0.25">
      <c r="B49" s="6" t="s">
        <v>94</v>
      </c>
      <c r="C49" s="6" t="s">
        <v>95</v>
      </c>
      <c r="D49" s="6">
        <v>30</v>
      </c>
      <c r="E49" s="6">
        <v>12</v>
      </c>
      <c r="F49" s="6">
        <v>5</v>
      </c>
      <c r="G49" s="6">
        <v>37</v>
      </c>
      <c r="H49" s="6">
        <v>20</v>
      </c>
      <c r="I49" s="6">
        <v>740</v>
      </c>
    </row>
    <row r="50" spans="2:9" x14ac:dyDescent="0.25">
      <c r="B50" s="6" t="s">
        <v>96</v>
      </c>
      <c r="C50" s="6" t="s">
        <v>97</v>
      </c>
      <c r="D50" s="6">
        <v>40</v>
      </c>
      <c r="E50" s="6">
        <v>18</v>
      </c>
      <c r="F50" s="6">
        <v>7</v>
      </c>
      <c r="G50" s="6">
        <v>51</v>
      </c>
      <c r="H50" s="6">
        <v>30</v>
      </c>
      <c r="I50" s="6">
        <v>1530</v>
      </c>
    </row>
    <row r="51" spans="2:9" x14ac:dyDescent="0.25">
      <c r="B51" s="6" t="s">
        <v>98</v>
      </c>
      <c r="C51" s="6" t="s">
        <v>99</v>
      </c>
      <c r="D51" s="6">
        <v>50</v>
      </c>
      <c r="E51" s="6">
        <v>20</v>
      </c>
      <c r="F51" s="6">
        <v>9</v>
      </c>
      <c r="G51" s="6">
        <v>61</v>
      </c>
      <c r="H51" s="6">
        <v>8</v>
      </c>
      <c r="I51" s="6">
        <v>488</v>
      </c>
    </row>
    <row r="52" spans="2:9" x14ac:dyDescent="0.25">
      <c r="B52" s="6" t="s">
        <v>100</v>
      </c>
      <c r="C52" s="6" t="s">
        <v>101</v>
      </c>
      <c r="D52" s="6">
        <v>25</v>
      </c>
      <c r="E52" s="6">
        <v>10</v>
      </c>
      <c r="F52" s="6">
        <v>3</v>
      </c>
      <c r="G52" s="6">
        <v>28</v>
      </c>
      <c r="H52" s="6">
        <v>150</v>
      </c>
      <c r="I52" s="6">
        <v>4200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D314F-1A1C-488B-8B30-078B5E1B5C24}">
  <dimension ref="A1:L50"/>
  <sheetViews>
    <sheetView tabSelected="1" topLeftCell="C1" zoomScaleNormal="100" workbookViewId="0">
      <selection activeCell="N22" sqref="N22"/>
    </sheetView>
  </sheetViews>
  <sheetFormatPr defaultColWidth="21.28515625" defaultRowHeight="15" x14ac:dyDescent="0.25"/>
  <cols>
    <col min="1" max="7" width="21.28515625" style="1"/>
    <col min="8" max="10" width="21.28515625" style="10"/>
    <col min="11" max="11" width="21.28515625" style="15"/>
    <col min="12" max="16384" width="21.28515625" style="1"/>
  </cols>
  <sheetData>
    <row r="1" spans="1:12" ht="32.25" thickBot="1" x14ac:dyDescent="0.3">
      <c r="A1" s="7" t="s">
        <v>2</v>
      </c>
      <c r="B1" s="9" t="s">
        <v>3</v>
      </c>
      <c r="C1" s="9" t="s">
        <v>119</v>
      </c>
      <c r="D1" s="9" t="s">
        <v>4</v>
      </c>
      <c r="E1" s="9" t="s">
        <v>5</v>
      </c>
      <c r="F1" s="9" t="s">
        <v>109</v>
      </c>
      <c r="G1" s="9" t="s">
        <v>7</v>
      </c>
      <c r="H1" s="11" t="s">
        <v>8</v>
      </c>
      <c r="I1" s="11" t="s">
        <v>110</v>
      </c>
      <c r="J1" s="11" t="s">
        <v>106</v>
      </c>
      <c r="K1" s="16" t="s">
        <v>102</v>
      </c>
      <c r="L1" s="16" t="s">
        <v>120</v>
      </c>
    </row>
    <row r="2" spans="1:12" x14ac:dyDescent="0.25">
      <c r="A2" s="8" t="s">
        <v>18</v>
      </c>
      <c r="B2" s="8" t="s">
        <v>19</v>
      </c>
      <c r="C2" s="8" t="s">
        <v>115</v>
      </c>
      <c r="D2" s="8">
        <v>70</v>
      </c>
      <c r="E2" s="8">
        <v>30</v>
      </c>
      <c r="F2" s="8">
        <v>20</v>
      </c>
      <c r="G2" s="8">
        <v>80</v>
      </c>
      <c r="H2" s="12">
        <v>900</v>
      </c>
      <c r="I2" s="12">
        <v>72000</v>
      </c>
      <c r="J2" s="12">
        <f>F2*H2</f>
        <v>18000</v>
      </c>
      <c r="K2" s="15">
        <f t="shared" ref="K2:K47" si="0">F2/(D2+E2)</f>
        <v>0.2</v>
      </c>
      <c r="L2" s="1" t="str">
        <f>IF(K2&gt;15%,"Best Seller",IF(K3&lt;10%,"Dead Stock","Average"))</f>
        <v>Best Seller</v>
      </c>
    </row>
    <row r="3" spans="1:12" x14ac:dyDescent="0.25">
      <c r="A3" s="6" t="s">
        <v>14</v>
      </c>
      <c r="B3" s="6" t="s">
        <v>15</v>
      </c>
      <c r="C3" s="6" t="s">
        <v>116</v>
      </c>
      <c r="D3" s="6">
        <v>60</v>
      </c>
      <c r="E3" s="6">
        <v>25</v>
      </c>
      <c r="F3" s="6">
        <v>15</v>
      </c>
      <c r="G3" s="6">
        <v>70</v>
      </c>
      <c r="H3" s="13">
        <v>50</v>
      </c>
      <c r="I3" s="13">
        <v>3500</v>
      </c>
      <c r="J3" s="12">
        <f t="shared" ref="J3:J47" si="1">F3*H3</f>
        <v>750</v>
      </c>
      <c r="K3" s="15">
        <f t="shared" si="0"/>
        <v>0.17647058823529413</v>
      </c>
      <c r="L3" s="1" t="str">
        <f t="shared" ref="L3:L47" si="2">IF(K3&gt;15%,"Best Seller",IF(K4&lt;10%,"Dead Stock","Average"))</f>
        <v>Best Seller</v>
      </c>
    </row>
    <row r="4" spans="1:12" x14ac:dyDescent="0.25">
      <c r="A4" s="6" t="s">
        <v>28</v>
      </c>
      <c r="B4" s="6" t="s">
        <v>29</v>
      </c>
      <c r="C4" s="6" t="s">
        <v>116</v>
      </c>
      <c r="D4" s="6">
        <v>40</v>
      </c>
      <c r="E4" s="6">
        <v>20</v>
      </c>
      <c r="F4" s="6">
        <v>10</v>
      </c>
      <c r="G4" s="6">
        <v>50</v>
      </c>
      <c r="H4" s="13">
        <v>60</v>
      </c>
      <c r="I4" s="13">
        <v>3000</v>
      </c>
      <c r="J4" s="12">
        <f t="shared" si="1"/>
        <v>600</v>
      </c>
      <c r="K4" s="15">
        <f t="shared" si="0"/>
        <v>0.16666666666666666</v>
      </c>
      <c r="L4" s="1" t="str">
        <f t="shared" si="2"/>
        <v>Best Seller</v>
      </c>
    </row>
    <row r="5" spans="1:12" x14ac:dyDescent="0.25">
      <c r="A5" s="6" t="s">
        <v>36</v>
      </c>
      <c r="B5" s="6" t="s">
        <v>37</v>
      </c>
      <c r="C5" s="6" t="s">
        <v>117</v>
      </c>
      <c r="D5" s="6">
        <v>60</v>
      </c>
      <c r="E5" s="6">
        <v>30</v>
      </c>
      <c r="F5" s="6">
        <v>15</v>
      </c>
      <c r="G5" s="6">
        <v>75</v>
      </c>
      <c r="H5" s="13">
        <v>10</v>
      </c>
      <c r="I5" s="13">
        <v>750</v>
      </c>
      <c r="J5" s="12">
        <f t="shared" si="1"/>
        <v>150</v>
      </c>
      <c r="K5" s="15">
        <f t="shared" si="0"/>
        <v>0.16666666666666666</v>
      </c>
      <c r="L5" s="1" t="str">
        <f t="shared" si="2"/>
        <v>Best Seller</v>
      </c>
    </row>
    <row r="6" spans="1:12" x14ac:dyDescent="0.25">
      <c r="A6" s="6" t="s">
        <v>34</v>
      </c>
      <c r="B6" s="6" t="s">
        <v>35</v>
      </c>
      <c r="C6" s="6" t="s">
        <v>117</v>
      </c>
      <c r="D6" s="6">
        <v>50</v>
      </c>
      <c r="E6" s="6">
        <v>25</v>
      </c>
      <c r="F6" s="6">
        <v>12</v>
      </c>
      <c r="G6" s="6">
        <v>63</v>
      </c>
      <c r="H6" s="13">
        <v>20</v>
      </c>
      <c r="I6" s="13">
        <v>1260</v>
      </c>
      <c r="J6" s="12">
        <f t="shared" si="1"/>
        <v>240</v>
      </c>
      <c r="K6" s="15">
        <f t="shared" si="0"/>
        <v>0.16</v>
      </c>
      <c r="L6" s="1" t="str">
        <f t="shared" si="2"/>
        <v>Best Seller</v>
      </c>
    </row>
    <row r="7" spans="1:12" x14ac:dyDescent="0.25">
      <c r="A7" s="6" t="s">
        <v>22</v>
      </c>
      <c r="B7" s="6" t="s">
        <v>23</v>
      </c>
      <c r="C7" s="6" t="s">
        <v>116</v>
      </c>
      <c r="D7" s="6">
        <v>55</v>
      </c>
      <c r="E7" s="6">
        <v>22</v>
      </c>
      <c r="F7" s="6">
        <v>12</v>
      </c>
      <c r="G7" s="6">
        <v>65</v>
      </c>
      <c r="H7" s="13">
        <v>150</v>
      </c>
      <c r="I7" s="13">
        <v>9750</v>
      </c>
      <c r="J7" s="12">
        <f t="shared" si="1"/>
        <v>1800</v>
      </c>
      <c r="K7" s="15">
        <f t="shared" si="0"/>
        <v>0.15584415584415584</v>
      </c>
      <c r="L7" s="1" t="str">
        <f t="shared" si="2"/>
        <v>Best Seller</v>
      </c>
    </row>
    <row r="8" spans="1:12" x14ac:dyDescent="0.25">
      <c r="A8" s="6" t="s">
        <v>32</v>
      </c>
      <c r="B8" s="6" t="s">
        <v>33</v>
      </c>
      <c r="C8" s="6" t="s">
        <v>117</v>
      </c>
      <c r="D8" s="6">
        <v>30</v>
      </c>
      <c r="E8" s="6">
        <v>15</v>
      </c>
      <c r="F8" s="6">
        <v>7</v>
      </c>
      <c r="G8" s="6">
        <v>38</v>
      </c>
      <c r="H8" s="13">
        <v>30</v>
      </c>
      <c r="I8" s="13">
        <v>1140</v>
      </c>
      <c r="J8" s="12">
        <f t="shared" si="1"/>
        <v>210</v>
      </c>
      <c r="K8" s="15">
        <f t="shared" si="0"/>
        <v>0.15555555555555556</v>
      </c>
      <c r="L8" s="1" t="str">
        <f t="shared" si="2"/>
        <v>Best Seller</v>
      </c>
    </row>
    <row r="9" spans="1:12" x14ac:dyDescent="0.25">
      <c r="A9" s="6" t="s">
        <v>54</v>
      </c>
      <c r="B9" s="6" t="s">
        <v>55</v>
      </c>
      <c r="C9" s="6" t="s">
        <v>118</v>
      </c>
      <c r="D9" s="6">
        <v>30</v>
      </c>
      <c r="E9" s="6">
        <v>15</v>
      </c>
      <c r="F9" s="6">
        <v>7</v>
      </c>
      <c r="G9" s="6">
        <v>38</v>
      </c>
      <c r="H9" s="13">
        <v>350</v>
      </c>
      <c r="I9" s="13">
        <v>13300</v>
      </c>
      <c r="J9" s="12">
        <f t="shared" si="1"/>
        <v>2450</v>
      </c>
      <c r="K9" s="15">
        <f t="shared" si="0"/>
        <v>0.15555555555555556</v>
      </c>
      <c r="L9" s="1" t="str">
        <f t="shared" si="2"/>
        <v>Best Seller</v>
      </c>
    </row>
    <row r="10" spans="1:12" x14ac:dyDescent="0.25">
      <c r="A10" s="6" t="s">
        <v>52</v>
      </c>
      <c r="B10" s="6" t="s">
        <v>53</v>
      </c>
      <c r="C10" s="6" t="s">
        <v>118</v>
      </c>
      <c r="D10" s="6">
        <v>40</v>
      </c>
      <c r="E10" s="6">
        <v>18</v>
      </c>
      <c r="F10" s="6">
        <v>9</v>
      </c>
      <c r="G10" s="6">
        <v>49</v>
      </c>
      <c r="H10" s="13">
        <v>600</v>
      </c>
      <c r="I10" s="13">
        <v>29400</v>
      </c>
      <c r="J10" s="12">
        <f t="shared" si="1"/>
        <v>5400</v>
      </c>
      <c r="K10" s="15">
        <f t="shared" si="0"/>
        <v>0.15517241379310345</v>
      </c>
      <c r="L10" s="1" t="str">
        <f t="shared" si="2"/>
        <v>Best Seller</v>
      </c>
    </row>
    <row r="11" spans="1:12" x14ac:dyDescent="0.25">
      <c r="A11" s="6" t="s">
        <v>66</v>
      </c>
      <c r="B11" s="6" t="s">
        <v>67</v>
      </c>
      <c r="C11" s="6" t="s">
        <v>118</v>
      </c>
      <c r="D11" s="6">
        <v>40</v>
      </c>
      <c r="E11" s="6">
        <v>18</v>
      </c>
      <c r="F11" s="6">
        <v>9</v>
      </c>
      <c r="G11" s="6">
        <v>49</v>
      </c>
      <c r="H11" s="13">
        <v>80</v>
      </c>
      <c r="I11" s="13">
        <v>3920</v>
      </c>
      <c r="J11" s="12">
        <f t="shared" si="1"/>
        <v>720</v>
      </c>
      <c r="K11" s="15">
        <f t="shared" si="0"/>
        <v>0.15517241379310345</v>
      </c>
      <c r="L11" s="1" t="str">
        <f t="shared" si="2"/>
        <v>Best Seller</v>
      </c>
    </row>
    <row r="12" spans="1:12" x14ac:dyDescent="0.25">
      <c r="A12" s="6" t="s">
        <v>84</v>
      </c>
      <c r="B12" s="6" t="s">
        <v>85</v>
      </c>
      <c r="C12" s="6" t="s">
        <v>117</v>
      </c>
      <c r="D12" s="6">
        <v>40</v>
      </c>
      <c r="E12" s="6">
        <v>18</v>
      </c>
      <c r="F12" s="6">
        <v>9</v>
      </c>
      <c r="G12" s="6">
        <v>49</v>
      </c>
      <c r="H12" s="13">
        <v>8</v>
      </c>
      <c r="I12" s="13">
        <v>392</v>
      </c>
      <c r="J12" s="12">
        <f t="shared" si="1"/>
        <v>72</v>
      </c>
      <c r="K12" s="15">
        <f t="shared" si="0"/>
        <v>0.15517241379310345</v>
      </c>
      <c r="L12" s="1" t="str">
        <f t="shared" si="2"/>
        <v>Best Seller</v>
      </c>
    </row>
    <row r="13" spans="1:12" x14ac:dyDescent="0.25">
      <c r="A13" s="6" t="s">
        <v>58</v>
      </c>
      <c r="B13" s="6" t="s">
        <v>59</v>
      </c>
      <c r="C13" s="6" t="s">
        <v>118</v>
      </c>
      <c r="D13" s="6">
        <v>50</v>
      </c>
      <c r="E13" s="6">
        <v>22</v>
      </c>
      <c r="F13" s="6">
        <v>11</v>
      </c>
      <c r="G13" s="6">
        <v>61</v>
      </c>
      <c r="H13" s="13">
        <v>80</v>
      </c>
      <c r="I13" s="13">
        <v>4880</v>
      </c>
      <c r="J13" s="12">
        <f t="shared" si="1"/>
        <v>880</v>
      </c>
      <c r="K13" s="15">
        <f t="shared" si="0"/>
        <v>0.15277777777777779</v>
      </c>
      <c r="L13" s="1" t="str">
        <f t="shared" si="2"/>
        <v>Best Seller</v>
      </c>
    </row>
    <row r="14" spans="1:12" x14ac:dyDescent="0.25">
      <c r="A14" s="6" t="s">
        <v>10</v>
      </c>
      <c r="B14" s="6" t="s">
        <v>11</v>
      </c>
      <c r="C14" s="6" t="s">
        <v>118</v>
      </c>
      <c r="D14" s="6">
        <v>50</v>
      </c>
      <c r="E14" s="6">
        <v>20</v>
      </c>
      <c r="F14" s="6">
        <v>10</v>
      </c>
      <c r="G14" s="6">
        <v>60</v>
      </c>
      <c r="H14" s="13">
        <v>1200</v>
      </c>
      <c r="I14" s="13">
        <v>72000</v>
      </c>
      <c r="J14" s="12">
        <f t="shared" si="1"/>
        <v>12000</v>
      </c>
      <c r="K14" s="15">
        <f t="shared" si="0"/>
        <v>0.14285714285714285</v>
      </c>
      <c r="L14" s="1" t="str">
        <f t="shared" si="2"/>
        <v>Average</v>
      </c>
    </row>
    <row r="15" spans="1:12" x14ac:dyDescent="0.25">
      <c r="A15" s="6" t="s">
        <v>44</v>
      </c>
      <c r="B15" s="6" t="s">
        <v>45</v>
      </c>
      <c r="C15" s="6" t="s">
        <v>116</v>
      </c>
      <c r="D15" s="6">
        <v>30</v>
      </c>
      <c r="E15" s="6">
        <v>12</v>
      </c>
      <c r="F15" s="6">
        <v>6</v>
      </c>
      <c r="G15" s="6">
        <v>36</v>
      </c>
      <c r="H15" s="13">
        <v>80</v>
      </c>
      <c r="I15" s="13">
        <v>2880</v>
      </c>
      <c r="J15" s="12">
        <f t="shared" si="1"/>
        <v>480</v>
      </c>
      <c r="K15" s="15">
        <f t="shared" si="0"/>
        <v>0.14285714285714285</v>
      </c>
      <c r="L15" s="1" t="str">
        <f t="shared" si="2"/>
        <v>Average</v>
      </c>
    </row>
    <row r="16" spans="1:12" x14ac:dyDescent="0.25">
      <c r="A16" s="6" t="s">
        <v>62</v>
      </c>
      <c r="B16" s="6" t="s">
        <v>63</v>
      </c>
      <c r="C16" s="6" t="s">
        <v>118</v>
      </c>
      <c r="D16" s="6">
        <v>60</v>
      </c>
      <c r="E16" s="6">
        <v>25</v>
      </c>
      <c r="F16" s="6">
        <v>12</v>
      </c>
      <c r="G16" s="6">
        <v>73</v>
      </c>
      <c r="H16" s="13">
        <v>60</v>
      </c>
      <c r="I16" s="13">
        <v>4380</v>
      </c>
      <c r="J16" s="12">
        <f t="shared" si="1"/>
        <v>720</v>
      </c>
      <c r="K16" s="15">
        <f t="shared" si="0"/>
        <v>0.14117647058823529</v>
      </c>
      <c r="L16" s="1" t="str">
        <f t="shared" si="2"/>
        <v>Average</v>
      </c>
    </row>
    <row r="17" spans="1:12" x14ac:dyDescent="0.25">
      <c r="A17" s="6" t="s">
        <v>26</v>
      </c>
      <c r="B17" s="6" t="s">
        <v>27</v>
      </c>
      <c r="C17" s="6" t="s">
        <v>116</v>
      </c>
      <c r="D17" s="6">
        <v>35</v>
      </c>
      <c r="E17" s="6">
        <v>15</v>
      </c>
      <c r="F17" s="6">
        <v>7</v>
      </c>
      <c r="G17" s="6">
        <v>43</v>
      </c>
      <c r="H17" s="13">
        <v>80</v>
      </c>
      <c r="I17" s="13">
        <v>3440</v>
      </c>
      <c r="J17" s="12">
        <f t="shared" si="1"/>
        <v>560</v>
      </c>
      <c r="K17" s="15">
        <f t="shared" si="0"/>
        <v>0.14000000000000001</v>
      </c>
      <c r="L17" s="1" t="str">
        <f t="shared" si="2"/>
        <v>Average</v>
      </c>
    </row>
    <row r="18" spans="1:12" x14ac:dyDescent="0.25">
      <c r="A18" s="6" t="s">
        <v>24</v>
      </c>
      <c r="B18" s="6" t="s">
        <v>25</v>
      </c>
      <c r="C18" s="6" t="s">
        <v>117</v>
      </c>
      <c r="D18" s="6">
        <v>25</v>
      </c>
      <c r="E18" s="6">
        <v>12</v>
      </c>
      <c r="F18" s="6">
        <v>5</v>
      </c>
      <c r="G18" s="6">
        <v>32</v>
      </c>
      <c r="H18" s="13">
        <v>200</v>
      </c>
      <c r="I18" s="13">
        <v>6400</v>
      </c>
      <c r="J18" s="12">
        <f t="shared" si="1"/>
        <v>1000</v>
      </c>
      <c r="K18" s="15">
        <f t="shared" si="0"/>
        <v>0.13513513513513514</v>
      </c>
      <c r="L18" s="1" t="str">
        <f t="shared" si="2"/>
        <v>Average</v>
      </c>
    </row>
    <row r="19" spans="1:12" x14ac:dyDescent="0.25">
      <c r="A19" s="6" t="s">
        <v>56</v>
      </c>
      <c r="B19" s="6" t="s">
        <v>57</v>
      </c>
      <c r="C19" s="6" t="s">
        <v>118</v>
      </c>
      <c r="D19" s="6">
        <v>25</v>
      </c>
      <c r="E19" s="6">
        <v>12</v>
      </c>
      <c r="F19" s="6">
        <v>5</v>
      </c>
      <c r="G19" s="6">
        <v>32</v>
      </c>
      <c r="H19" s="13">
        <v>200</v>
      </c>
      <c r="I19" s="13">
        <v>6400</v>
      </c>
      <c r="J19" s="12">
        <f t="shared" si="1"/>
        <v>1000</v>
      </c>
      <c r="K19" s="15">
        <f t="shared" si="0"/>
        <v>0.13513513513513514</v>
      </c>
      <c r="L19" s="1" t="str">
        <f t="shared" si="2"/>
        <v>Average</v>
      </c>
    </row>
    <row r="20" spans="1:12" x14ac:dyDescent="0.25">
      <c r="A20" s="6" t="s">
        <v>38</v>
      </c>
      <c r="B20" s="6" t="s">
        <v>39</v>
      </c>
      <c r="C20" s="6" t="s">
        <v>117</v>
      </c>
      <c r="D20" s="6">
        <v>40</v>
      </c>
      <c r="E20" s="6">
        <v>20</v>
      </c>
      <c r="F20" s="6">
        <v>8</v>
      </c>
      <c r="G20" s="6">
        <v>52</v>
      </c>
      <c r="H20" s="13">
        <v>25</v>
      </c>
      <c r="I20" s="13">
        <v>1300</v>
      </c>
      <c r="J20" s="12">
        <f t="shared" si="1"/>
        <v>200</v>
      </c>
      <c r="K20" s="15">
        <f t="shared" si="0"/>
        <v>0.13333333333333333</v>
      </c>
      <c r="L20" s="1" t="str">
        <f t="shared" si="2"/>
        <v>Average</v>
      </c>
    </row>
    <row r="21" spans="1:12" x14ac:dyDescent="0.25">
      <c r="A21" s="6" t="s">
        <v>86</v>
      </c>
      <c r="B21" s="6" t="s">
        <v>87</v>
      </c>
      <c r="C21" s="6" t="s">
        <v>117</v>
      </c>
      <c r="D21" s="6">
        <v>30</v>
      </c>
      <c r="E21" s="6">
        <v>15</v>
      </c>
      <c r="F21" s="6">
        <v>6</v>
      </c>
      <c r="G21" s="6">
        <v>39</v>
      </c>
      <c r="H21" s="13">
        <v>20</v>
      </c>
      <c r="I21" s="13">
        <v>780</v>
      </c>
      <c r="J21" s="12">
        <f t="shared" si="1"/>
        <v>120</v>
      </c>
      <c r="K21" s="15">
        <f t="shared" si="0"/>
        <v>0.13333333333333333</v>
      </c>
      <c r="L21" s="1" t="str">
        <f t="shared" si="2"/>
        <v>Average</v>
      </c>
    </row>
    <row r="22" spans="1:12" x14ac:dyDescent="0.25">
      <c r="A22" s="6" t="s">
        <v>92</v>
      </c>
      <c r="B22" s="6" t="s">
        <v>93</v>
      </c>
      <c r="C22" s="6" t="s">
        <v>117</v>
      </c>
      <c r="D22" s="6">
        <v>20</v>
      </c>
      <c r="E22" s="6">
        <v>10</v>
      </c>
      <c r="F22" s="6">
        <v>4</v>
      </c>
      <c r="G22" s="6">
        <v>26</v>
      </c>
      <c r="H22" s="13">
        <v>15</v>
      </c>
      <c r="I22" s="13">
        <v>390</v>
      </c>
      <c r="J22" s="12">
        <f t="shared" si="1"/>
        <v>60</v>
      </c>
      <c r="K22" s="15">
        <f t="shared" si="0"/>
        <v>0.13333333333333333</v>
      </c>
      <c r="L22" s="1" t="str">
        <f t="shared" si="2"/>
        <v>Average</v>
      </c>
    </row>
    <row r="23" spans="1:12" x14ac:dyDescent="0.25">
      <c r="A23" s="6" t="s">
        <v>98</v>
      </c>
      <c r="B23" s="6" t="s">
        <v>99</v>
      </c>
      <c r="C23" s="6" t="s">
        <v>117</v>
      </c>
      <c r="D23" s="6">
        <v>50</v>
      </c>
      <c r="E23" s="6">
        <v>20</v>
      </c>
      <c r="F23" s="6">
        <v>9</v>
      </c>
      <c r="G23" s="6">
        <v>61</v>
      </c>
      <c r="H23" s="13">
        <v>8</v>
      </c>
      <c r="I23" s="13">
        <v>488</v>
      </c>
      <c r="J23" s="12">
        <f t="shared" si="1"/>
        <v>72</v>
      </c>
      <c r="K23" s="15">
        <f t="shared" si="0"/>
        <v>0.12857142857142856</v>
      </c>
      <c r="L23" s="1" t="str">
        <f t="shared" si="2"/>
        <v>Average</v>
      </c>
    </row>
    <row r="24" spans="1:12" x14ac:dyDescent="0.25">
      <c r="A24" s="6" t="s">
        <v>20</v>
      </c>
      <c r="B24" s="6" t="s">
        <v>21</v>
      </c>
      <c r="C24" s="6" t="s">
        <v>115</v>
      </c>
      <c r="D24" s="6">
        <v>45</v>
      </c>
      <c r="E24" s="6">
        <v>18</v>
      </c>
      <c r="F24" s="6">
        <v>8</v>
      </c>
      <c r="G24" s="6">
        <v>55</v>
      </c>
      <c r="H24" s="13">
        <v>700</v>
      </c>
      <c r="I24" s="13">
        <v>38500</v>
      </c>
      <c r="J24" s="12">
        <f t="shared" si="1"/>
        <v>5600</v>
      </c>
      <c r="K24" s="15">
        <f t="shared" si="0"/>
        <v>0.12698412698412698</v>
      </c>
      <c r="L24" s="1" t="str">
        <f t="shared" si="2"/>
        <v>Average</v>
      </c>
    </row>
    <row r="25" spans="1:12" x14ac:dyDescent="0.25">
      <c r="A25" s="6" t="s">
        <v>60</v>
      </c>
      <c r="B25" s="6" t="s">
        <v>61</v>
      </c>
      <c r="C25" s="6" t="s">
        <v>118</v>
      </c>
      <c r="D25" s="6">
        <v>45</v>
      </c>
      <c r="E25" s="6">
        <v>20</v>
      </c>
      <c r="F25" s="6">
        <v>8</v>
      </c>
      <c r="G25" s="6">
        <v>57</v>
      </c>
      <c r="H25" s="13">
        <v>120</v>
      </c>
      <c r="I25" s="13">
        <v>6840</v>
      </c>
      <c r="J25" s="12">
        <f t="shared" si="1"/>
        <v>960</v>
      </c>
      <c r="K25" s="15">
        <f t="shared" si="0"/>
        <v>0.12307692307692308</v>
      </c>
      <c r="L25" s="1" t="str">
        <f t="shared" si="2"/>
        <v>Average</v>
      </c>
    </row>
    <row r="26" spans="1:12" x14ac:dyDescent="0.25">
      <c r="A26" s="6" t="s">
        <v>96</v>
      </c>
      <c r="B26" s="6" t="s">
        <v>97</v>
      </c>
      <c r="C26" s="6" t="s">
        <v>117</v>
      </c>
      <c r="D26" s="6">
        <v>40</v>
      </c>
      <c r="E26" s="6">
        <v>18</v>
      </c>
      <c r="F26" s="6">
        <v>7</v>
      </c>
      <c r="G26" s="6">
        <v>51</v>
      </c>
      <c r="H26" s="13">
        <v>30</v>
      </c>
      <c r="I26" s="13">
        <v>1530</v>
      </c>
      <c r="J26" s="12">
        <f t="shared" si="1"/>
        <v>210</v>
      </c>
      <c r="K26" s="15">
        <f t="shared" si="0"/>
        <v>0.1206896551724138</v>
      </c>
      <c r="L26" s="1" t="str">
        <f t="shared" si="2"/>
        <v>Average</v>
      </c>
    </row>
    <row r="27" spans="1:12" x14ac:dyDescent="0.25">
      <c r="A27" s="6" t="s">
        <v>64</v>
      </c>
      <c r="B27" s="6" t="s">
        <v>65</v>
      </c>
      <c r="C27" s="6" t="s">
        <v>118</v>
      </c>
      <c r="D27" s="6">
        <v>35</v>
      </c>
      <c r="E27" s="6">
        <v>15</v>
      </c>
      <c r="F27" s="6">
        <v>6</v>
      </c>
      <c r="G27" s="6">
        <v>44</v>
      </c>
      <c r="H27" s="13">
        <v>100</v>
      </c>
      <c r="I27" s="13">
        <v>4400</v>
      </c>
      <c r="J27" s="12">
        <f t="shared" si="1"/>
        <v>600</v>
      </c>
      <c r="K27" s="15">
        <f t="shared" si="0"/>
        <v>0.12</v>
      </c>
      <c r="L27" s="1" t="str">
        <f t="shared" si="2"/>
        <v>Average</v>
      </c>
    </row>
    <row r="28" spans="1:12" x14ac:dyDescent="0.25">
      <c r="A28" s="6" t="s">
        <v>94</v>
      </c>
      <c r="B28" s="6" t="s">
        <v>95</v>
      </c>
      <c r="C28" s="6" t="s">
        <v>117</v>
      </c>
      <c r="D28" s="6">
        <v>30</v>
      </c>
      <c r="E28" s="6">
        <v>12</v>
      </c>
      <c r="F28" s="6">
        <v>5</v>
      </c>
      <c r="G28" s="6">
        <v>37</v>
      </c>
      <c r="H28" s="13">
        <v>20</v>
      </c>
      <c r="I28" s="13">
        <v>740</v>
      </c>
      <c r="J28" s="12">
        <f t="shared" si="1"/>
        <v>100</v>
      </c>
      <c r="K28" s="15">
        <f t="shared" si="0"/>
        <v>0.11904761904761904</v>
      </c>
      <c r="L28" s="1" t="str">
        <f t="shared" si="2"/>
        <v>Average</v>
      </c>
    </row>
    <row r="29" spans="1:12" x14ac:dyDescent="0.25">
      <c r="A29" s="6" t="s">
        <v>42</v>
      </c>
      <c r="B29" s="6" t="s">
        <v>43</v>
      </c>
      <c r="C29" s="6" t="s">
        <v>116</v>
      </c>
      <c r="D29" s="6">
        <v>25</v>
      </c>
      <c r="E29" s="6">
        <v>10</v>
      </c>
      <c r="F29" s="6">
        <v>4</v>
      </c>
      <c r="G29" s="6">
        <v>31</v>
      </c>
      <c r="H29" s="13">
        <v>100</v>
      </c>
      <c r="I29" s="13">
        <v>3100</v>
      </c>
      <c r="J29" s="12">
        <f t="shared" si="1"/>
        <v>400</v>
      </c>
      <c r="K29" s="15">
        <f t="shared" si="0"/>
        <v>0.11428571428571428</v>
      </c>
      <c r="L29" s="1" t="str">
        <f t="shared" si="2"/>
        <v>Average</v>
      </c>
    </row>
    <row r="30" spans="1:12" x14ac:dyDescent="0.25">
      <c r="A30" s="6" t="s">
        <v>50</v>
      </c>
      <c r="B30" s="6" t="s">
        <v>51</v>
      </c>
      <c r="C30" s="6" t="s">
        <v>116</v>
      </c>
      <c r="D30" s="6">
        <v>25</v>
      </c>
      <c r="E30" s="6">
        <v>10</v>
      </c>
      <c r="F30" s="6">
        <v>4</v>
      </c>
      <c r="G30" s="6">
        <v>31</v>
      </c>
      <c r="H30" s="13">
        <v>400</v>
      </c>
      <c r="I30" s="13">
        <v>12400</v>
      </c>
      <c r="J30" s="12">
        <f t="shared" si="1"/>
        <v>1600</v>
      </c>
      <c r="K30" s="15">
        <f t="shared" si="0"/>
        <v>0.11428571428571428</v>
      </c>
      <c r="L30" s="1" t="str">
        <f t="shared" si="2"/>
        <v>Average</v>
      </c>
    </row>
    <row r="31" spans="1:12" x14ac:dyDescent="0.25">
      <c r="A31" s="6" t="s">
        <v>72</v>
      </c>
      <c r="B31" s="6" t="s">
        <v>73</v>
      </c>
      <c r="C31" s="6" t="s">
        <v>117</v>
      </c>
      <c r="D31" s="6">
        <v>50</v>
      </c>
      <c r="E31" s="6">
        <v>20</v>
      </c>
      <c r="F31" s="6">
        <v>8</v>
      </c>
      <c r="G31" s="6">
        <v>62</v>
      </c>
      <c r="H31" s="13">
        <v>10</v>
      </c>
      <c r="I31" s="13">
        <v>620</v>
      </c>
      <c r="J31" s="12">
        <f t="shared" si="1"/>
        <v>80</v>
      </c>
      <c r="K31" s="15">
        <f t="shared" si="0"/>
        <v>0.11428571428571428</v>
      </c>
      <c r="L31" s="1" t="str">
        <f t="shared" si="2"/>
        <v>Average</v>
      </c>
    </row>
    <row r="32" spans="1:12" x14ac:dyDescent="0.25">
      <c r="A32" s="6" t="s">
        <v>82</v>
      </c>
      <c r="B32" s="6" t="s">
        <v>83</v>
      </c>
      <c r="C32" s="6" t="s">
        <v>117</v>
      </c>
      <c r="D32" s="6">
        <v>25</v>
      </c>
      <c r="E32" s="6">
        <v>10</v>
      </c>
      <c r="F32" s="6">
        <v>4</v>
      </c>
      <c r="G32" s="6">
        <v>31</v>
      </c>
      <c r="H32" s="13">
        <v>5</v>
      </c>
      <c r="I32" s="13">
        <v>155</v>
      </c>
      <c r="J32" s="12">
        <f t="shared" si="1"/>
        <v>20</v>
      </c>
      <c r="K32" s="15">
        <f t="shared" si="0"/>
        <v>0.11428571428571428</v>
      </c>
      <c r="L32" s="1" t="str">
        <f t="shared" si="2"/>
        <v>Average</v>
      </c>
    </row>
    <row r="33" spans="1:12" x14ac:dyDescent="0.25">
      <c r="A33" s="6" t="s">
        <v>30</v>
      </c>
      <c r="B33" s="6" t="s">
        <v>31</v>
      </c>
      <c r="C33" s="6" t="s">
        <v>117</v>
      </c>
      <c r="D33" s="6">
        <v>20</v>
      </c>
      <c r="E33" s="6">
        <v>8</v>
      </c>
      <c r="F33" s="6">
        <v>3</v>
      </c>
      <c r="G33" s="6">
        <v>25</v>
      </c>
      <c r="H33" s="13">
        <v>150</v>
      </c>
      <c r="I33" s="13">
        <v>3750</v>
      </c>
      <c r="J33" s="12">
        <f t="shared" si="1"/>
        <v>450</v>
      </c>
      <c r="K33" s="15">
        <f t="shared" si="0"/>
        <v>0.10714285714285714</v>
      </c>
      <c r="L33" s="1" t="str">
        <f t="shared" si="2"/>
        <v>Average</v>
      </c>
    </row>
    <row r="34" spans="1:12" x14ac:dyDescent="0.25">
      <c r="A34" s="6" t="s">
        <v>46</v>
      </c>
      <c r="B34" s="6" t="s">
        <v>47</v>
      </c>
      <c r="C34" s="6" t="s">
        <v>116</v>
      </c>
      <c r="D34" s="6">
        <v>20</v>
      </c>
      <c r="E34" s="6">
        <v>8</v>
      </c>
      <c r="F34" s="6">
        <v>3</v>
      </c>
      <c r="G34" s="6">
        <v>25</v>
      </c>
      <c r="H34" s="13">
        <v>120</v>
      </c>
      <c r="I34" s="13">
        <v>3000</v>
      </c>
      <c r="J34" s="12">
        <f t="shared" si="1"/>
        <v>360</v>
      </c>
      <c r="K34" s="15">
        <f t="shared" si="0"/>
        <v>0.10714285714285714</v>
      </c>
      <c r="L34" s="1" t="str">
        <f t="shared" si="2"/>
        <v>Average</v>
      </c>
    </row>
    <row r="35" spans="1:12" x14ac:dyDescent="0.25">
      <c r="A35" s="6" t="s">
        <v>78</v>
      </c>
      <c r="B35" s="6" t="s">
        <v>79</v>
      </c>
      <c r="C35" s="6" t="s">
        <v>116</v>
      </c>
      <c r="D35" s="6">
        <v>20</v>
      </c>
      <c r="E35" s="6">
        <v>8</v>
      </c>
      <c r="F35" s="6">
        <v>3</v>
      </c>
      <c r="G35" s="6">
        <v>25</v>
      </c>
      <c r="H35" s="13">
        <v>20</v>
      </c>
      <c r="I35" s="13">
        <v>500</v>
      </c>
      <c r="J35" s="12">
        <f t="shared" si="1"/>
        <v>60</v>
      </c>
      <c r="K35" s="15">
        <f t="shared" si="0"/>
        <v>0.10714285714285714</v>
      </c>
      <c r="L35" s="1" t="str">
        <f t="shared" si="2"/>
        <v>Average</v>
      </c>
    </row>
    <row r="36" spans="1:12" x14ac:dyDescent="0.25">
      <c r="A36" s="6" t="s">
        <v>40</v>
      </c>
      <c r="B36" s="6" t="s">
        <v>41</v>
      </c>
      <c r="C36" s="6" t="s">
        <v>116</v>
      </c>
      <c r="D36" s="6">
        <v>35</v>
      </c>
      <c r="E36" s="6">
        <v>15</v>
      </c>
      <c r="F36" s="6">
        <v>5</v>
      </c>
      <c r="G36" s="6">
        <v>45</v>
      </c>
      <c r="H36" s="13">
        <v>40</v>
      </c>
      <c r="I36" s="13">
        <v>1800</v>
      </c>
      <c r="J36" s="12">
        <f t="shared" si="1"/>
        <v>200</v>
      </c>
      <c r="K36" s="15">
        <f t="shared" si="0"/>
        <v>0.1</v>
      </c>
      <c r="L36" s="1" t="str">
        <f t="shared" si="2"/>
        <v>Dead Stock</v>
      </c>
    </row>
    <row r="37" spans="1:12" x14ac:dyDescent="0.25">
      <c r="A37" s="6" t="s">
        <v>48</v>
      </c>
      <c r="B37" s="6" t="s">
        <v>49</v>
      </c>
      <c r="C37" s="6" t="s">
        <v>117</v>
      </c>
      <c r="D37" s="6">
        <v>15</v>
      </c>
      <c r="E37" s="6">
        <v>6</v>
      </c>
      <c r="F37" s="6">
        <v>2</v>
      </c>
      <c r="G37" s="6">
        <v>19</v>
      </c>
      <c r="H37" s="13">
        <v>200</v>
      </c>
      <c r="I37" s="13">
        <v>3800</v>
      </c>
      <c r="J37" s="12">
        <f t="shared" si="1"/>
        <v>400</v>
      </c>
      <c r="K37" s="15">
        <f t="shared" si="0"/>
        <v>9.5238095238095233E-2</v>
      </c>
      <c r="L37" s="1" t="str">
        <f t="shared" si="2"/>
        <v>Dead Stock</v>
      </c>
    </row>
    <row r="38" spans="1:12" x14ac:dyDescent="0.25">
      <c r="A38" s="6" t="s">
        <v>68</v>
      </c>
      <c r="B38" s="6" t="s">
        <v>69</v>
      </c>
      <c r="C38" s="6" t="s">
        <v>118</v>
      </c>
      <c r="D38" s="6">
        <v>30</v>
      </c>
      <c r="E38" s="6">
        <v>12</v>
      </c>
      <c r="F38" s="6">
        <v>4</v>
      </c>
      <c r="G38" s="6">
        <v>38</v>
      </c>
      <c r="H38" s="13">
        <v>50</v>
      </c>
      <c r="I38" s="13">
        <v>1900</v>
      </c>
      <c r="J38" s="12">
        <f t="shared" si="1"/>
        <v>200</v>
      </c>
      <c r="K38" s="15">
        <f t="shared" si="0"/>
        <v>9.5238095238095233E-2</v>
      </c>
      <c r="L38" s="1" t="str">
        <f t="shared" si="2"/>
        <v>Dead Stock</v>
      </c>
    </row>
    <row r="39" spans="1:12" x14ac:dyDescent="0.25">
      <c r="A39" s="6" t="s">
        <v>76</v>
      </c>
      <c r="B39" s="6" t="s">
        <v>77</v>
      </c>
      <c r="C39" s="6" t="s">
        <v>117</v>
      </c>
      <c r="D39" s="6">
        <v>30</v>
      </c>
      <c r="E39" s="6">
        <v>12</v>
      </c>
      <c r="F39" s="6">
        <v>4</v>
      </c>
      <c r="G39" s="6">
        <v>38</v>
      </c>
      <c r="H39" s="13">
        <v>15</v>
      </c>
      <c r="I39" s="13">
        <v>570</v>
      </c>
      <c r="J39" s="12">
        <f t="shared" si="1"/>
        <v>60</v>
      </c>
      <c r="K39" s="15">
        <f t="shared" si="0"/>
        <v>9.5238095238095233E-2</v>
      </c>
      <c r="L39" s="1" t="str">
        <f t="shared" si="2"/>
        <v>Dead Stock</v>
      </c>
    </row>
    <row r="40" spans="1:12" x14ac:dyDescent="0.25">
      <c r="A40" s="6" t="s">
        <v>80</v>
      </c>
      <c r="B40" s="6" t="s">
        <v>81</v>
      </c>
      <c r="C40" s="6" t="s">
        <v>117</v>
      </c>
      <c r="D40" s="6">
        <v>15</v>
      </c>
      <c r="E40" s="6">
        <v>6</v>
      </c>
      <c r="F40" s="6">
        <v>2</v>
      </c>
      <c r="G40" s="6">
        <v>19</v>
      </c>
      <c r="H40" s="13">
        <v>50</v>
      </c>
      <c r="I40" s="13">
        <v>950</v>
      </c>
      <c r="J40" s="12">
        <f t="shared" si="1"/>
        <v>100</v>
      </c>
      <c r="K40" s="15">
        <f t="shared" si="0"/>
        <v>9.5238095238095233E-2</v>
      </c>
      <c r="L40" s="1" t="str">
        <f t="shared" si="2"/>
        <v>Dead Stock</v>
      </c>
    </row>
    <row r="41" spans="1:12" x14ac:dyDescent="0.25">
      <c r="A41" s="6" t="s">
        <v>12</v>
      </c>
      <c r="B41" s="6" t="s">
        <v>13</v>
      </c>
      <c r="C41" s="6" t="s">
        <v>116</v>
      </c>
      <c r="D41" s="6">
        <v>40</v>
      </c>
      <c r="E41" s="6">
        <v>15</v>
      </c>
      <c r="F41" s="6">
        <v>5</v>
      </c>
      <c r="G41" s="6">
        <v>50</v>
      </c>
      <c r="H41" s="13">
        <v>500</v>
      </c>
      <c r="I41" s="13">
        <v>25000</v>
      </c>
      <c r="J41" s="12">
        <f t="shared" si="1"/>
        <v>2500</v>
      </c>
      <c r="K41" s="15">
        <f t="shared" si="0"/>
        <v>9.0909090909090912E-2</v>
      </c>
      <c r="L41" s="1" t="str">
        <f t="shared" si="2"/>
        <v>Dead Stock</v>
      </c>
    </row>
    <row r="42" spans="1:12" x14ac:dyDescent="0.25">
      <c r="A42" s="6" t="s">
        <v>74</v>
      </c>
      <c r="B42" s="6" t="s">
        <v>75</v>
      </c>
      <c r="C42" s="6" t="s">
        <v>117</v>
      </c>
      <c r="D42" s="6">
        <v>40</v>
      </c>
      <c r="E42" s="6">
        <v>15</v>
      </c>
      <c r="F42" s="6">
        <v>5</v>
      </c>
      <c r="G42" s="6">
        <v>50</v>
      </c>
      <c r="H42" s="13">
        <v>5</v>
      </c>
      <c r="I42" s="13">
        <v>250</v>
      </c>
      <c r="J42" s="12">
        <f t="shared" si="1"/>
        <v>25</v>
      </c>
      <c r="K42" s="15">
        <f t="shared" si="0"/>
        <v>9.0909090909090912E-2</v>
      </c>
      <c r="L42" s="1" t="str">
        <f t="shared" si="2"/>
        <v>Dead Stock</v>
      </c>
    </row>
    <row r="43" spans="1:12" x14ac:dyDescent="0.25">
      <c r="A43" s="6" t="s">
        <v>90</v>
      </c>
      <c r="B43" s="6" t="s">
        <v>91</v>
      </c>
      <c r="C43" s="6" t="s">
        <v>117</v>
      </c>
      <c r="D43" s="6">
        <v>25</v>
      </c>
      <c r="E43" s="6">
        <v>8</v>
      </c>
      <c r="F43" s="6">
        <v>3</v>
      </c>
      <c r="G43" s="6">
        <v>30</v>
      </c>
      <c r="H43" s="13">
        <v>10</v>
      </c>
      <c r="I43" s="13">
        <v>300</v>
      </c>
      <c r="J43" s="12">
        <f t="shared" si="1"/>
        <v>30</v>
      </c>
      <c r="K43" s="15">
        <f t="shared" si="0"/>
        <v>9.0909090909090912E-2</v>
      </c>
      <c r="L43" s="1" t="str">
        <f t="shared" si="2"/>
        <v>Dead Stock</v>
      </c>
    </row>
    <row r="44" spans="1:12" x14ac:dyDescent="0.25">
      <c r="A44" s="6" t="s">
        <v>70</v>
      </c>
      <c r="B44" s="6" t="s">
        <v>71</v>
      </c>
      <c r="C44" s="6" t="s">
        <v>117</v>
      </c>
      <c r="D44" s="6">
        <v>25</v>
      </c>
      <c r="E44" s="6">
        <v>10</v>
      </c>
      <c r="F44" s="6">
        <v>3</v>
      </c>
      <c r="G44" s="6">
        <v>32</v>
      </c>
      <c r="H44" s="13">
        <v>30</v>
      </c>
      <c r="I44" s="13">
        <v>960</v>
      </c>
      <c r="J44" s="12">
        <f t="shared" si="1"/>
        <v>90</v>
      </c>
      <c r="K44" s="15">
        <f t="shared" si="0"/>
        <v>8.5714285714285715E-2</v>
      </c>
      <c r="L44" s="1" t="str">
        <f t="shared" si="2"/>
        <v>Dead Stock</v>
      </c>
    </row>
    <row r="45" spans="1:12" x14ac:dyDescent="0.25">
      <c r="A45" s="6" t="s">
        <v>100</v>
      </c>
      <c r="B45" s="6" t="s">
        <v>101</v>
      </c>
      <c r="C45" s="6" t="s">
        <v>117</v>
      </c>
      <c r="D45" s="6">
        <v>25</v>
      </c>
      <c r="E45" s="6">
        <v>10</v>
      </c>
      <c r="F45" s="6">
        <v>3</v>
      </c>
      <c r="G45" s="6">
        <v>32</v>
      </c>
      <c r="H45" s="13">
        <v>150</v>
      </c>
      <c r="I45" s="13">
        <v>4800</v>
      </c>
      <c r="J45" s="12">
        <f t="shared" si="1"/>
        <v>450</v>
      </c>
      <c r="K45" s="15">
        <f t="shared" si="0"/>
        <v>8.5714285714285715E-2</v>
      </c>
      <c r="L45" s="1" t="str">
        <f t="shared" si="2"/>
        <v>Dead Stock</v>
      </c>
    </row>
    <row r="46" spans="1:12" x14ac:dyDescent="0.25">
      <c r="A46" s="6" t="s">
        <v>88</v>
      </c>
      <c r="B46" s="6" t="s">
        <v>89</v>
      </c>
      <c r="C46" s="6" t="s">
        <v>117</v>
      </c>
      <c r="D46" s="6">
        <v>35</v>
      </c>
      <c r="E46" s="6">
        <v>12</v>
      </c>
      <c r="F46" s="6">
        <v>4</v>
      </c>
      <c r="G46" s="6">
        <v>43</v>
      </c>
      <c r="H46" s="13">
        <v>15</v>
      </c>
      <c r="I46" s="13">
        <v>645</v>
      </c>
      <c r="J46" s="12">
        <f t="shared" si="1"/>
        <v>60</v>
      </c>
      <c r="K46" s="15">
        <f t="shared" si="0"/>
        <v>8.5106382978723402E-2</v>
      </c>
      <c r="L46" s="1" t="str">
        <f t="shared" si="2"/>
        <v>Dead Stock</v>
      </c>
    </row>
    <row r="47" spans="1:12" x14ac:dyDescent="0.25">
      <c r="A47" s="6" t="s">
        <v>16</v>
      </c>
      <c r="B47" s="6" t="s">
        <v>17</v>
      </c>
      <c r="C47" s="6" t="s">
        <v>116</v>
      </c>
      <c r="D47" s="6">
        <v>30</v>
      </c>
      <c r="E47" s="6">
        <v>10</v>
      </c>
      <c r="F47" s="6">
        <v>3</v>
      </c>
      <c r="G47" s="6">
        <v>37</v>
      </c>
      <c r="H47" s="13">
        <v>100</v>
      </c>
      <c r="I47" s="13">
        <v>3700</v>
      </c>
      <c r="J47" s="12">
        <f t="shared" si="1"/>
        <v>300</v>
      </c>
      <c r="K47" s="15">
        <f t="shared" si="0"/>
        <v>7.4999999999999997E-2</v>
      </c>
      <c r="L47" s="1" t="str">
        <f t="shared" si="2"/>
        <v>Dead Stock</v>
      </c>
    </row>
    <row r="48" spans="1:12" x14ac:dyDescent="0.25">
      <c r="A48"/>
      <c r="B48"/>
      <c r="C48"/>
      <c r="D48"/>
      <c r="E48"/>
      <c r="F48"/>
      <c r="G48"/>
      <c r="H48" s="14"/>
      <c r="I48" s="1"/>
      <c r="J48" s="1"/>
    </row>
    <row r="49" spans="1:10" x14ac:dyDescent="0.25">
      <c r="A49"/>
      <c r="B49"/>
      <c r="C49"/>
      <c r="D49"/>
      <c r="E49"/>
      <c r="F49"/>
      <c r="G49"/>
      <c r="H49" s="14"/>
      <c r="I49" s="1"/>
      <c r="J49" s="1"/>
    </row>
    <row r="50" spans="1:10" x14ac:dyDescent="0.25">
      <c r="A50"/>
      <c r="B50"/>
      <c r="C50"/>
      <c r="D50"/>
      <c r="E50"/>
      <c r="F50"/>
      <c r="G50"/>
      <c r="H50" s="14"/>
      <c r="I50" s="1"/>
      <c r="J50" s="1"/>
    </row>
  </sheetData>
  <autoFilter ref="A1:L47" xr:uid="{48ED314F-1A1C-488B-8B30-078B5E1B5C24}"/>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C93EBD-C0D5-47CD-B3CA-123E5F176FF8}">
  <dimension ref="A2:C15"/>
  <sheetViews>
    <sheetView workbookViewId="0">
      <selection activeCell="C3" sqref="C3"/>
    </sheetView>
  </sheetViews>
  <sheetFormatPr defaultColWidth="17.7109375" defaultRowHeight="15" x14ac:dyDescent="0.25"/>
  <cols>
    <col min="1" max="1" width="16.5703125" bestFit="1" customWidth="1"/>
    <col min="2" max="2" width="14" bestFit="1" customWidth="1"/>
    <col min="3" max="3" width="10.140625" bestFit="1" customWidth="1"/>
    <col min="4" max="4" width="14" bestFit="1" customWidth="1"/>
  </cols>
  <sheetData>
    <row r="2" spans="1:3" x14ac:dyDescent="0.25">
      <c r="A2" s="17" t="s">
        <v>103</v>
      </c>
      <c r="B2" t="s">
        <v>105</v>
      </c>
      <c r="C2" t="s">
        <v>107</v>
      </c>
    </row>
    <row r="3" spans="1:3" x14ac:dyDescent="0.25">
      <c r="A3" s="18" t="s">
        <v>19</v>
      </c>
      <c r="B3">
        <v>80</v>
      </c>
      <c r="C3">
        <v>20</v>
      </c>
    </row>
    <row r="4" spans="1:3" x14ac:dyDescent="0.25">
      <c r="A4" s="18" t="s">
        <v>37</v>
      </c>
      <c r="B4">
        <v>75</v>
      </c>
      <c r="C4">
        <v>15</v>
      </c>
    </row>
    <row r="5" spans="1:3" x14ac:dyDescent="0.25">
      <c r="A5" s="18" t="s">
        <v>15</v>
      </c>
      <c r="B5">
        <v>70</v>
      </c>
      <c r="C5">
        <v>15</v>
      </c>
    </row>
    <row r="6" spans="1:3" x14ac:dyDescent="0.25">
      <c r="A6" s="18" t="s">
        <v>35</v>
      </c>
      <c r="B6">
        <v>63</v>
      </c>
      <c r="C6">
        <v>12</v>
      </c>
    </row>
    <row r="7" spans="1:3" x14ac:dyDescent="0.25">
      <c r="A7" s="18" t="s">
        <v>23</v>
      </c>
      <c r="B7">
        <v>65</v>
      </c>
      <c r="C7">
        <v>12</v>
      </c>
    </row>
    <row r="8" spans="1:3" x14ac:dyDescent="0.25">
      <c r="A8" s="18" t="s">
        <v>59</v>
      </c>
      <c r="B8">
        <v>61</v>
      </c>
      <c r="C8">
        <v>11</v>
      </c>
    </row>
    <row r="9" spans="1:3" x14ac:dyDescent="0.25">
      <c r="A9" s="18" t="s">
        <v>29</v>
      </c>
      <c r="B9">
        <v>50</v>
      </c>
      <c r="C9">
        <v>10</v>
      </c>
    </row>
    <row r="10" spans="1:3" x14ac:dyDescent="0.25">
      <c r="A10" s="18" t="s">
        <v>53</v>
      </c>
      <c r="B10">
        <v>49</v>
      </c>
      <c r="C10">
        <v>9</v>
      </c>
    </row>
    <row r="11" spans="1:3" x14ac:dyDescent="0.25">
      <c r="A11" s="18" t="s">
        <v>67</v>
      </c>
      <c r="B11">
        <v>49</v>
      </c>
      <c r="C11">
        <v>9</v>
      </c>
    </row>
    <row r="12" spans="1:3" x14ac:dyDescent="0.25">
      <c r="A12" s="18" t="s">
        <v>85</v>
      </c>
      <c r="B12">
        <v>49</v>
      </c>
      <c r="C12">
        <v>9</v>
      </c>
    </row>
    <row r="13" spans="1:3" x14ac:dyDescent="0.25">
      <c r="A13" s="18" t="s">
        <v>55</v>
      </c>
      <c r="B13">
        <v>38</v>
      </c>
      <c r="C13">
        <v>7</v>
      </c>
    </row>
    <row r="14" spans="1:3" x14ac:dyDescent="0.25">
      <c r="A14" s="18" t="s">
        <v>33</v>
      </c>
      <c r="B14">
        <v>38</v>
      </c>
      <c r="C14">
        <v>7</v>
      </c>
    </row>
    <row r="15" spans="1:3" x14ac:dyDescent="0.25">
      <c r="A15" s="18" t="s">
        <v>104</v>
      </c>
      <c r="B15">
        <v>687</v>
      </c>
      <c r="C15">
        <v>136</v>
      </c>
    </row>
  </sheetData>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3A87EB-7ECE-4422-A30B-F41810A9573B}">
  <dimension ref="A2:B13"/>
  <sheetViews>
    <sheetView workbookViewId="0">
      <selection activeCell="C4" sqref="C4"/>
    </sheetView>
  </sheetViews>
  <sheetFormatPr defaultRowHeight="15" x14ac:dyDescent="0.25"/>
  <cols>
    <col min="1" max="1" width="14.7109375" bestFit="1" customWidth="1"/>
    <col min="2" max="3" width="16.85546875" bestFit="1" customWidth="1"/>
  </cols>
  <sheetData>
    <row r="2" spans="1:2" x14ac:dyDescent="0.25">
      <c r="A2" s="17" t="s">
        <v>103</v>
      </c>
      <c r="B2" t="s">
        <v>111</v>
      </c>
    </row>
    <row r="3" spans="1:2" x14ac:dyDescent="0.25">
      <c r="A3" s="18" t="s">
        <v>55</v>
      </c>
      <c r="B3" s="19">
        <v>2450</v>
      </c>
    </row>
    <row r="4" spans="1:2" x14ac:dyDescent="0.25">
      <c r="A4" s="18" t="s">
        <v>33</v>
      </c>
      <c r="B4" s="19">
        <v>210</v>
      </c>
    </row>
    <row r="5" spans="1:2" x14ac:dyDescent="0.25">
      <c r="A5" s="18" t="s">
        <v>53</v>
      </c>
      <c r="B5" s="19">
        <v>5400</v>
      </c>
    </row>
    <row r="6" spans="1:2" x14ac:dyDescent="0.25">
      <c r="A6" s="18" t="s">
        <v>15</v>
      </c>
      <c r="B6" s="19">
        <v>750</v>
      </c>
    </row>
    <row r="7" spans="1:2" x14ac:dyDescent="0.25">
      <c r="A7" s="18" t="s">
        <v>67</v>
      </c>
      <c r="B7" s="19">
        <v>720</v>
      </c>
    </row>
    <row r="8" spans="1:2" x14ac:dyDescent="0.25">
      <c r="A8" s="18" t="s">
        <v>59</v>
      </c>
      <c r="B8" s="19">
        <v>880</v>
      </c>
    </row>
    <row r="9" spans="1:2" x14ac:dyDescent="0.25">
      <c r="A9" s="18" t="s">
        <v>23</v>
      </c>
      <c r="B9" s="19">
        <v>1800</v>
      </c>
    </row>
    <row r="10" spans="1:2" x14ac:dyDescent="0.25">
      <c r="A10" s="18" t="s">
        <v>19</v>
      </c>
      <c r="B10" s="19">
        <v>18000</v>
      </c>
    </row>
    <row r="11" spans="1:2" x14ac:dyDescent="0.25">
      <c r="A11" s="18" t="s">
        <v>35</v>
      </c>
      <c r="B11" s="19">
        <v>240</v>
      </c>
    </row>
    <row r="12" spans="1:2" x14ac:dyDescent="0.25">
      <c r="A12" s="18" t="s">
        <v>29</v>
      </c>
      <c r="B12" s="19">
        <v>600</v>
      </c>
    </row>
    <row r="13" spans="1:2" x14ac:dyDescent="0.25">
      <c r="A13" s="18" t="s">
        <v>104</v>
      </c>
      <c r="B13" s="19">
        <v>31050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F00368-1FE3-4682-8BE5-5223BFE4B58E}">
  <dimension ref="A2:B15"/>
  <sheetViews>
    <sheetView workbookViewId="0">
      <selection activeCell="B12" sqref="B12"/>
    </sheetView>
  </sheetViews>
  <sheetFormatPr defaultRowHeight="15" x14ac:dyDescent="0.25"/>
  <cols>
    <col min="1" max="1" width="16.5703125" bestFit="1" customWidth="1"/>
    <col min="2" max="2" width="10.85546875" bestFit="1" customWidth="1"/>
  </cols>
  <sheetData>
    <row r="2" spans="1:2" x14ac:dyDescent="0.25">
      <c r="A2" s="17" t="s">
        <v>103</v>
      </c>
      <c r="B2" t="s">
        <v>112</v>
      </c>
    </row>
    <row r="3" spans="1:2" x14ac:dyDescent="0.25">
      <c r="A3" s="18" t="s">
        <v>59</v>
      </c>
      <c r="B3" s="20">
        <v>0.15277777777777779</v>
      </c>
    </row>
    <row r="4" spans="1:2" x14ac:dyDescent="0.25">
      <c r="A4" s="18" t="s">
        <v>67</v>
      </c>
      <c r="B4" s="20">
        <v>0.15517241379310345</v>
      </c>
    </row>
    <row r="5" spans="1:2" x14ac:dyDescent="0.25">
      <c r="A5" s="18" t="s">
        <v>85</v>
      </c>
      <c r="B5" s="20">
        <v>0.15517241379310345</v>
      </c>
    </row>
    <row r="6" spans="1:2" x14ac:dyDescent="0.25">
      <c r="A6" s="18" t="s">
        <v>53</v>
      </c>
      <c r="B6" s="20">
        <v>0.15517241379310345</v>
      </c>
    </row>
    <row r="7" spans="1:2" x14ac:dyDescent="0.25">
      <c r="A7" s="18" t="s">
        <v>55</v>
      </c>
      <c r="B7" s="20">
        <v>0.15555555555555556</v>
      </c>
    </row>
    <row r="8" spans="1:2" x14ac:dyDescent="0.25">
      <c r="A8" s="18" t="s">
        <v>33</v>
      </c>
      <c r="B8" s="20">
        <v>0.15555555555555556</v>
      </c>
    </row>
    <row r="9" spans="1:2" x14ac:dyDescent="0.25">
      <c r="A9" s="18" t="s">
        <v>23</v>
      </c>
      <c r="B9" s="20">
        <v>0.15584415584415584</v>
      </c>
    </row>
    <row r="10" spans="1:2" x14ac:dyDescent="0.25">
      <c r="A10" s="18" t="s">
        <v>35</v>
      </c>
      <c r="B10" s="20">
        <v>0.16</v>
      </c>
    </row>
    <row r="11" spans="1:2" x14ac:dyDescent="0.25">
      <c r="A11" s="18" t="s">
        <v>37</v>
      </c>
      <c r="B11" s="20">
        <v>0.16666666666666666</v>
      </c>
    </row>
    <row r="12" spans="1:2" x14ac:dyDescent="0.25">
      <c r="A12" s="18" t="s">
        <v>29</v>
      </c>
      <c r="B12" s="20">
        <v>0.16666666666666666</v>
      </c>
    </row>
    <row r="13" spans="1:2" x14ac:dyDescent="0.25">
      <c r="A13" s="18" t="s">
        <v>15</v>
      </c>
      <c r="B13" s="20">
        <v>0.17647058823529413</v>
      </c>
    </row>
    <row r="14" spans="1:2" x14ac:dyDescent="0.25">
      <c r="A14" s="18" t="s">
        <v>19</v>
      </c>
      <c r="B14" s="20">
        <v>0.2</v>
      </c>
    </row>
    <row r="15" spans="1:2" x14ac:dyDescent="0.25">
      <c r="A15" s="18" t="s">
        <v>104</v>
      </c>
      <c r="B15" s="20">
        <v>1.9550542076809827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C66695-44AD-4D3F-8C61-CA5AE0582D22}">
  <dimension ref="A2:B10"/>
  <sheetViews>
    <sheetView workbookViewId="0">
      <selection activeCell="F25" sqref="F25"/>
    </sheetView>
  </sheetViews>
  <sheetFormatPr defaultRowHeight="15" x14ac:dyDescent="0.25"/>
  <cols>
    <col min="1" max="1" width="25" bestFit="1" customWidth="1"/>
    <col min="2" max="2" width="10.85546875" bestFit="1" customWidth="1"/>
  </cols>
  <sheetData>
    <row r="2" spans="1:2" x14ac:dyDescent="0.25">
      <c r="A2" s="17" t="s">
        <v>103</v>
      </c>
      <c r="B2" t="s">
        <v>112</v>
      </c>
    </row>
    <row r="3" spans="1:2" x14ac:dyDescent="0.25">
      <c r="A3" s="18" t="s">
        <v>17</v>
      </c>
      <c r="B3" s="20">
        <v>7.4999999999999997E-2</v>
      </c>
    </row>
    <row r="4" spans="1:2" x14ac:dyDescent="0.25">
      <c r="A4" s="18" t="s">
        <v>89</v>
      </c>
      <c r="B4" s="20">
        <v>8.5106382978723402E-2</v>
      </c>
    </row>
    <row r="5" spans="1:2" x14ac:dyDescent="0.25">
      <c r="A5" s="18" t="s">
        <v>101</v>
      </c>
      <c r="B5" s="20">
        <v>8.5714285714285715E-2</v>
      </c>
    </row>
    <row r="6" spans="1:2" x14ac:dyDescent="0.25">
      <c r="A6" s="18" t="s">
        <v>71</v>
      </c>
      <c r="B6" s="20">
        <v>8.5714285714285715E-2</v>
      </c>
    </row>
    <row r="7" spans="1:2" x14ac:dyDescent="0.25">
      <c r="A7" s="18" t="s">
        <v>13</v>
      </c>
      <c r="B7" s="20">
        <v>9.0909090909090912E-2</v>
      </c>
    </row>
    <row r="8" spans="1:2" x14ac:dyDescent="0.25">
      <c r="A8" s="18" t="s">
        <v>75</v>
      </c>
      <c r="B8" s="20">
        <v>9.0909090909090912E-2</v>
      </c>
    </row>
    <row r="9" spans="1:2" x14ac:dyDescent="0.25">
      <c r="A9" s="18" t="s">
        <v>91</v>
      </c>
      <c r="B9" s="20">
        <v>9.0909090909090912E-2</v>
      </c>
    </row>
    <row r="10" spans="1:2" x14ac:dyDescent="0.25">
      <c r="A10" s="18" t="s">
        <v>104</v>
      </c>
      <c r="B10" s="20">
        <v>0.60426222713456768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8783B-300F-4FD6-A1C4-87F73DA81EF4}">
  <dimension ref="A3:E60"/>
  <sheetViews>
    <sheetView zoomScale="89" zoomScaleNormal="89" workbookViewId="0">
      <selection activeCell="D3" sqref="D3"/>
    </sheetView>
  </sheetViews>
  <sheetFormatPr defaultRowHeight="15" x14ac:dyDescent="0.25"/>
  <cols>
    <col min="1" max="1" width="16.5703125" bestFit="1" customWidth="1"/>
    <col min="2" max="2" width="12.140625" customWidth="1"/>
    <col min="4" max="4" width="19.5703125" customWidth="1"/>
    <col min="5" max="5" width="15.7109375" style="14" customWidth="1"/>
    <col min="7" max="8" width="9.140625" customWidth="1"/>
  </cols>
  <sheetData>
    <row r="3" spans="1:5" x14ac:dyDescent="0.25">
      <c r="A3" s="17" t="s">
        <v>103</v>
      </c>
      <c r="B3" t="s">
        <v>113</v>
      </c>
      <c r="D3" s="22" t="s">
        <v>103</v>
      </c>
      <c r="E3" s="23" t="s">
        <v>113</v>
      </c>
    </row>
    <row r="4" spans="1:5" x14ac:dyDescent="0.25">
      <c r="A4" s="18" t="s">
        <v>19</v>
      </c>
      <c r="B4" s="19">
        <v>-54000</v>
      </c>
      <c r="D4" t="s">
        <v>11</v>
      </c>
      <c r="E4" s="14">
        <v>-60000</v>
      </c>
    </row>
    <row r="5" spans="1:5" x14ac:dyDescent="0.25">
      <c r="A5" s="18" t="s">
        <v>53</v>
      </c>
      <c r="B5" s="19">
        <v>-24000</v>
      </c>
      <c r="D5" t="s">
        <v>19</v>
      </c>
      <c r="E5" s="14">
        <v>-54000</v>
      </c>
    </row>
    <row r="6" spans="1:5" x14ac:dyDescent="0.25">
      <c r="A6" s="18" t="s">
        <v>55</v>
      </c>
      <c r="B6" s="19">
        <v>-10850</v>
      </c>
      <c r="D6" t="s">
        <v>21</v>
      </c>
      <c r="E6" s="14">
        <v>-32900</v>
      </c>
    </row>
    <row r="7" spans="1:5" x14ac:dyDescent="0.25">
      <c r="A7" s="18" t="s">
        <v>23</v>
      </c>
      <c r="B7" s="19">
        <v>-7950</v>
      </c>
      <c r="D7" t="s">
        <v>53</v>
      </c>
      <c r="E7" s="14">
        <v>-24000</v>
      </c>
    </row>
    <row r="8" spans="1:5" x14ac:dyDescent="0.25">
      <c r="A8" s="18" t="s">
        <v>59</v>
      </c>
      <c r="B8" s="19">
        <v>-4000</v>
      </c>
      <c r="D8" t="s">
        <v>13</v>
      </c>
      <c r="E8" s="14">
        <v>-22500</v>
      </c>
    </row>
    <row r="9" spans="1:5" x14ac:dyDescent="0.25">
      <c r="A9" s="18" t="s">
        <v>67</v>
      </c>
      <c r="B9" s="19">
        <v>-3200</v>
      </c>
      <c r="D9" t="s">
        <v>55</v>
      </c>
      <c r="E9" s="14">
        <v>-10850</v>
      </c>
    </row>
    <row r="10" spans="1:5" x14ac:dyDescent="0.25">
      <c r="A10" s="18" t="s">
        <v>15</v>
      </c>
      <c r="B10" s="19">
        <v>-2750</v>
      </c>
      <c r="D10" t="s">
        <v>51</v>
      </c>
      <c r="E10" s="14">
        <v>-10800</v>
      </c>
    </row>
    <row r="11" spans="1:5" x14ac:dyDescent="0.25">
      <c r="A11" s="18" t="s">
        <v>29</v>
      </c>
      <c r="B11" s="19">
        <v>-2400</v>
      </c>
      <c r="D11" t="s">
        <v>23</v>
      </c>
      <c r="E11" s="14">
        <v>-7950</v>
      </c>
    </row>
    <row r="12" spans="1:5" x14ac:dyDescent="0.25">
      <c r="A12" s="18" t="s">
        <v>35</v>
      </c>
      <c r="B12" s="19">
        <v>-1020</v>
      </c>
      <c r="D12" t="s">
        <v>61</v>
      </c>
      <c r="E12" s="14">
        <v>-5880</v>
      </c>
    </row>
    <row r="13" spans="1:5" x14ac:dyDescent="0.25">
      <c r="A13" s="18" t="s">
        <v>33</v>
      </c>
      <c r="B13" s="19">
        <v>-930</v>
      </c>
      <c r="D13" t="s">
        <v>57</v>
      </c>
      <c r="E13" s="14">
        <v>-5400</v>
      </c>
    </row>
    <row r="14" spans="1:5" x14ac:dyDescent="0.25">
      <c r="A14" s="18" t="s">
        <v>37</v>
      </c>
      <c r="B14" s="19">
        <v>-600</v>
      </c>
      <c r="D14" t="s">
        <v>25</v>
      </c>
      <c r="E14" s="14">
        <v>-5400</v>
      </c>
    </row>
    <row r="15" spans="1:5" x14ac:dyDescent="0.25">
      <c r="A15" s="18" t="s">
        <v>85</v>
      </c>
      <c r="B15" s="19">
        <v>-320</v>
      </c>
      <c r="D15" t="s">
        <v>101</v>
      </c>
      <c r="E15" s="14">
        <v>-4350</v>
      </c>
    </row>
    <row r="16" spans="1:5" x14ac:dyDescent="0.25">
      <c r="A16" s="18" t="s">
        <v>104</v>
      </c>
      <c r="B16" s="19">
        <v>-112020</v>
      </c>
      <c r="D16" t="s">
        <v>59</v>
      </c>
      <c r="E16" s="14">
        <v>-4000</v>
      </c>
    </row>
    <row r="17" spans="4:5" x14ac:dyDescent="0.25">
      <c r="D17" t="s">
        <v>65</v>
      </c>
      <c r="E17" s="14">
        <v>-3800</v>
      </c>
    </row>
    <row r="18" spans="4:5" x14ac:dyDescent="0.25">
      <c r="D18" t="s">
        <v>63</v>
      </c>
      <c r="E18" s="14">
        <v>-3660</v>
      </c>
    </row>
    <row r="19" spans="4:5" x14ac:dyDescent="0.25">
      <c r="D19" t="s">
        <v>17</v>
      </c>
      <c r="E19" s="14">
        <v>-3400</v>
      </c>
    </row>
    <row r="20" spans="4:5" x14ac:dyDescent="0.25">
      <c r="D20" t="s">
        <v>49</v>
      </c>
      <c r="E20" s="14">
        <v>-3400</v>
      </c>
    </row>
    <row r="21" spans="4:5" x14ac:dyDescent="0.25">
      <c r="D21" t="s">
        <v>31</v>
      </c>
      <c r="E21" s="14">
        <v>-3300</v>
      </c>
    </row>
    <row r="22" spans="4:5" x14ac:dyDescent="0.25">
      <c r="D22" t="s">
        <v>67</v>
      </c>
      <c r="E22" s="14">
        <v>-3200</v>
      </c>
    </row>
    <row r="23" spans="4:5" x14ac:dyDescent="0.25">
      <c r="D23" t="s">
        <v>27</v>
      </c>
      <c r="E23" s="14">
        <v>-2880</v>
      </c>
    </row>
    <row r="24" spans="4:5" x14ac:dyDescent="0.25">
      <c r="D24" t="s">
        <v>15</v>
      </c>
      <c r="E24" s="14">
        <v>-2750</v>
      </c>
    </row>
    <row r="25" spans="4:5" x14ac:dyDescent="0.25">
      <c r="D25" t="s">
        <v>43</v>
      </c>
      <c r="E25" s="14">
        <v>-2700</v>
      </c>
    </row>
    <row r="26" spans="4:5" x14ac:dyDescent="0.25">
      <c r="D26" t="s">
        <v>47</v>
      </c>
      <c r="E26" s="14">
        <v>-2640</v>
      </c>
    </row>
    <row r="27" spans="4:5" x14ac:dyDescent="0.25">
      <c r="D27" t="s">
        <v>45</v>
      </c>
      <c r="E27" s="14">
        <v>-2400</v>
      </c>
    </row>
    <row r="28" spans="4:5" x14ac:dyDescent="0.25">
      <c r="D28" t="s">
        <v>29</v>
      </c>
      <c r="E28" s="14">
        <v>-2400</v>
      </c>
    </row>
    <row r="29" spans="4:5" x14ac:dyDescent="0.25">
      <c r="D29" t="s">
        <v>69</v>
      </c>
      <c r="E29" s="14">
        <v>-1700</v>
      </c>
    </row>
    <row r="30" spans="4:5" x14ac:dyDescent="0.25">
      <c r="D30" t="s">
        <v>41</v>
      </c>
      <c r="E30" s="14">
        <v>-1600</v>
      </c>
    </row>
    <row r="31" spans="4:5" x14ac:dyDescent="0.25">
      <c r="D31" t="s">
        <v>97</v>
      </c>
      <c r="E31" s="14">
        <v>-1320</v>
      </c>
    </row>
    <row r="32" spans="4:5" x14ac:dyDescent="0.25">
      <c r="D32" t="s">
        <v>39</v>
      </c>
      <c r="E32" s="14">
        <v>-1100</v>
      </c>
    </row>
    <row r="33" spans="4:5" x14ac:dyDescent="0.25">
      <c r="D33" t="s">
        <v>35</v>
      </c>
      <c r="E33" s="14">
        <v>-1020</v>
      </c>
    </row>
    <row r="34" spans="4:5" x14ac:dyDescent="0.25">
      <c r="D34" t="s">
        <v>33</v>
      </c>
      <c r="E34" s="14">
        <v>-930</v>
      </c>
    </row>
    <row r="35" spans="4:5" x14ac:dyDescent="0.25">
      <c r="D35" t="s">
        <v>71</v>
      </c>
      <c r="E35" s="14">
        <v>-870</v>
      </c>
    </row>
    <row r="36" spans="4:5" x14ac:dyDescent="0.25">
      <c r="D36" t="s">
        <v>81</v>
      </c>
      <c r="E36" s="14">
        <v>-850</v>
      </c>
    </row>
    <row r="37" spans="4:5" x14ac:dyDescent="0.25">
      <c r="D37" t="s">
        <v>87</v>
      </c>
      <c r="E37" s="14">
        <v>-660</v>
      </c>
    </row>
    <row r="38" spans="4:5" x14ac:dyDescent="0.25">
      <c r="D38" t="s">
        <v>95</v>
      </c>
      <c r="E38" s="14">
        <v>-640</v>
      </c>
    </row>
    <row r="39" spans="4:5" x14ac:dyDescent="0.25">
      <c r="D39" t="s">
        <v>37</v>
      </c>
      <c r="E39" s="14">
        <v>-600</v>
      </c>
    </row>
    <row r="40" spans="4:5" x14ac:dyDescent="0.25">
      <c r="D40" t="s">
        <v>89</v>
      </c>
      <c r="E40" s="14">
        <v>-585</v>
      </c>
    </row>
    <row r="41" spans="4:5" x14ac:dyDescent="0.25">
      <c r="D41" t="s">
        <v>73</v>
      </c>
      <c r="E41" s="14">
        <v>-540</v>
      </c>
    </row>
    <row r="42" spans="4:5" x14ac:dyDescent="0.25">
      <c r="D42" t="s">
        <v>77</v>
      </c>
      <c r="E42" s="14">
        <v>-510</v>
      </c>
    </row>
    <row r="43" spans="4:5" x14ac:dyDescent="0.25">
      <c r="D43" t="s">
        <v>79</v>
      </c>
      <c r="E43" s="14">
        <v>-440</v>
      </c>
    </row>
    <row r="44" spans="4:5" x14ac:dyDescent="0.25">
      <c r="D44" t="s">
        <v>99</v>
      </c>
      <c r="E44" s="14">
        <v>-416</v>
      </c>
    </row>
    <row r="45" spans="4:5" x14ac:dyDescent="0.25">
      <c r="D45" t="s">
        <v>93</v>
      </c>
      <c r="E45" s="14">
        <v>-330</v>
      </c>
    </row>
    <row r="46" spans="4:5" x14ac:dyDescent="0.25">
      <c r="D46" t="s">
        <v>85</v>
      </c>
      <c r="E46" s="14">
        <v>-320</v>
      </c>
    </row>
    <row r="47" spans="4:5" x14ac:dyDescent="0.25">
      <c r="D47" t="s">
        <v>91</v>
      </c>
      <c r="E47" s="14">
        <v>-270</v>
      </c>
    </row>
    <row r="48" spans="4:5" x14ac:dyDescent="0.25">
      <c r="D48" t="s">
        <v>75</v>
      </c>
      <c r="E48" s="14">
        <v>-225</v>
      </c>
    </row>
    <row r="49" spans="4:5" x14ac:dyDescent="0.25">
      <c r="D49" t="s">
        <v>83</v>
      </c>
      <c r="E49" s="14">
        <v>-135</v>
      </c>
    </row>
    <row r="50" spans="4:5" x14ac:dyDescent="0.25">
      <c r="D50" s="22" t="s">
        <v>104</v>
      </c>
      <c r="E50" s="23">
        <v>-299621</v>
      </c>
    </row>
    <row r="53" spans="4:5" x14ac:dyDescent="0.25">
      <c r="D53" s="24" t="s">
        <v>103</v>
      </c>
      <c r="E53" s="25" t="s">
        <v>113</v>
      </c>
    </row>
    <row r="54" spans="4:5" x14ac:dyDescent="0.25">
      <c r="D54" s="14" t="str">
        <f>A4</f>
        <v>Smartphone</v>
      </c>
      <c r="E54" s="14" t="e">
        <f>GETPIVOTDATA("Gross Profit",$A$3,"Product Name","Laptop")</f>
        <v>#REF!</v>
      </c>
    </row>
    <row r="55" spans="4:5" x14ac:dyDescent="0.25">
      <c r="D55" t="str">
        <f>A5</f>
        <v>Graphics Card</v>
      </c>
      <c r="E55" s="14">
        <f>GETPIVOTDATA("Gross Profit",$A$3,"Product Name","Smartphone")</f>
        <v>-54000</v>
      </c>
    </row>
    <row r="56" spans="4:5" x14ac:dyDescent="0.25">
      <c r="D56" t="str">
        <f>A6</f>
        <v>CPU</v>
      </c>
      <c r="E56" s="14" t="e">
        <f>GETPIVOTDATA("Gross Profit",$A$3,"Product Name","Tablet")</f>
        <v>#REF!</v>
      </c>
    </row>
    <row r="57" spans="4:5" x14ac:dyDescent="0.25">
      <c r="D57" t="str">
        <f>A7</f>
        <v>Router</v>
      </c>
      <c r="E57" s="14">
        <f>GETPIVOTDATA("Gross Profit",$A$3,"Product Name","Graphics Card")</f>
        <v>-24000</v>
      </c>
    </row>
    <row r="58" spans="4:5" x14ac:dyDescent="0.25">
      <c r="D58" t="str">
        <f>A8</f>
        <v>RAM</v>
      </c>
      <c r="E58" s="14" t="e">
        <f>GETPIVOTDATA("Gross Profit",$A$3,"Product Name","Monitor")</f>
        <v>#REF!</v>
      </c>
    </row>
    <row r="59" spans="4:5" x14ac:dyDescent="0.25">
      <c r="D59" t="s">
        <v>114</v>
      </c>
      <c r="E59" s="14">
        <f>SUM(B9:B49)</f>
        <v>-123240</v>
      </c>
    </row>
    <row r="60" spans="4:5" x14ac:dyDescent="0.25">
      <c r="D60" t="s">
        <v>104</v>
      </c>
      <c r="E60" s="14">
        <f>GETPIVOTDATA("Gross Profit",$A$3)</f>
        <v>-112020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B8229-249A-452C-A889-9815FD214214}">
  <dimension ref="A1:V3"/>
  <sheetViews>
    <sheetView showGridLines="0" zoomScale="60" zoomScaleNormal="60" workbookViewId="0">
      <selection activeCell="AA46" sqref="AA46"/>
    </sheetView>
  </sheetViews>
  <sheetFormatPr defaultRowHeight="15" x14ac:dyDescent="0.25"/>
  <cols>
    <col min="1" max="16384" width="9.140625" style="21"/>
  </cols>
  <sheetData>
    <row r="1" spans="1:22" ht="15" customHeight="1" x14ac:dyDescent="0.25">
      <c r="A1" s="26" t="s">
        <v>108</v>
      </c>
      <c r="B1" s="26"/>
      <c r="C1" s="26"/>
      <c r="D1" s="26"/>
      <c r="E1" s="26"/>
      <c r="F1" s="26"/>
      <c r="G1" s="26"/>
      <c r="H1" s="26"/>
      <c r="I1" s="26"/>
      <c r="J1" s="26"/>
      <c r="K1" s="26"/>
      <c r="L1" s="26"/>
      <c r="M1" s="26"/>
      <c r="N1" s="26"/>
      <c r="O1" s="26"/>
      <c r="P1" s="26"/>
      <c r="Q1" s="26"/>
      <c r="R1" s="26"/>
      <c r="S1" s="26"/>
      <c r="T1" s="26"/>
      <c r="U1" s="26"/>
      <c r="V1" s="26"/>
    </row>
    <row r="2" spans="1:22" ht="34.5" customHeight="1" x14ac:dyDescent="0.25">
      <c r="A2" s="26"/>
      <c r="B2" s="26"/>
      <c r="C2" s="26"/>
      <c r="D2" s="26"/>
      <c r="E2" s="26"/>
      <c r="F2" s="26"/>
      <c r="G2" s="26"/>
      <c r="H2" s="26"/>
      <c r="I2" s="26"/>
      <c r="J2" s="26"/>
      <c r="K2" s="26"/>
      <c r="L2" s="26"/>
      <c r="M2" s="26"/>
      <c r="N2" s="26"/>
      <c r="O2" s="26"/>
      <c r="P2" s="26"/>
      <c r="Q2" s="26"/>
      <c r="R2" s="26"/>
      <c r="S2" s="26"/>
      <c r="T2" s="26"/>
      <c r="U2" s="26"/>
      <c r="V2" s="26"/>
    </row>
    <row r="3" spans="1:22" x14ac:dyDescent="0.25">
      <c r="A3" s="26"/>
      <c r="B3" s="26"/>
      <c r="C3" s="26"/>
      <c r="D3" s="26"/>
      <c r="E3" s="26"/>
      <c r="F3" s="26"/>
      <c r="G3" s="26"/>
      <c r="H3" s="26"/>
      <c r="I3" s="26"/>
      <c r="J3" s="26"/>
      <c r="K3" s="26"/>
      <c r="L3" s="26"/>
      <c r="M3" s="26"/>
      <c r="N3" s="26"/>
      <c r="O3" s="26"/>
      <c r="P3" s="26"/>
      <c r="Q3" s="26"/>
      <c r="R3" s="26"/>
      <c r="S3" s="26"/>
      <c r="T3" s="26"/>
      <c r="U3" s="26"/>
      <c r="V3" s="26"/>
    </row>
  </sheetData>
  <mergeCells count="1">
    <mergeCell ref="A1:V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Inventory Records Data</vt:lpstr>
      <vt:lpstr>Working Sheet</vt:lpstr>
      <vt:lpstr>Stock vs. Sales</vt:lpstr>
      <vt:lpstr>Revenue vs. Cost</vt:lpstr>
      <vt:lpstr>Sales Rate</vt:lpstr>
      <vt:lpstr>Dead Stock</vt:lpstr>
      <vt:lpstr>Investment Recovery</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Seemanto Saha</dc:creator>
  <cp:lastModifiedBy>rachelle fraga</cp:lastModifiedBy>
  <dcterms:created xsi:type="dcterms:W3CDTF">2024-02-19T11:46:38Z</dcterms:created>
  <dcterms:modified xsi:type="dcterms:W3CDTF">2026-05-01T13:08:40Z</dcterms:modified>
</cp:coreProperties>
</file>